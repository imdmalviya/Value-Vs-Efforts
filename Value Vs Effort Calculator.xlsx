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\Downloads\"/>
    </mc:Choice>
  </mc:AlternateContent>
  <xr:revisionPtr revIDLastSave="0" documentId="13_ncr:1_{D5877471-B7A9-46F6-A13F-2A54A22FD7FC}" xr6:coauthVersionLast="47" xr6:coauthVersionMax="47" xr10:uidLastSave="{00000000-0000-0000-0000-000000000000}"/>
  <bookViews>
    <workbookView xWindow="-108" yWindow="-108" windowWidth="23256" windowHeight="12456" firstSheet="1" activeTab="2" xr2:uid="{A412873F-CF7B-40BF-9153-C1F3E5121B67}"/>
  </bookViews>
  <sheets>
    <sheet name="Rough Sheet" sheetId="2" state="hidden" r:id="rId1"/>
    <sheet name="Overall View" sheetId="3" r:id="rId2"/>
    <sheet name="Monday" sheetId="12" r:id="rId3"/>
    <sheet name="Tuesday" sheetId="13" r:id="rId4"/>
    <sheet name="Wednesday" sheetId="5" r:id="rId5"/>
    <sheet name="Thursday" sheetId="9" r:id="rId6"/>
    <sheet name="Friday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3" l="1"/>
  <c r="L18" i="13" s="1"/>
  <c r="L17" i="13"/>
  <c r="H17" i="13"/>
  <c r="H16" i="13"/>
  <c r="L16" i="13" s="1"/>
  <c r="L15" i="13"/>
  <c r="H15" i="13"/>
  <c r="H14" i="13"/>
  <c r="L14" i="13" s="1"/>
  <c r="L13" i="13"/>
  <c r="H13" i="13"/>
  <c r="H12" i="13"/>
  <c r="L12" i="13" s="1"/>
  <c r="H11" i="13"/>
  <c r="L11" i="13" s="1"/>
  <c r="J10" i="13"/>
  <c r="H10" i="13"/>
  <c r="L10" i="13" s="1"/>
  <c r="J9" i="13"/>
  <c r="L9" i="13" s="1"/>
  <c r="H9" i="13"/>
  <c r="J8" i="13"/>
  <c r="H8" i="13"/>
  <c r="L8" i="13" s="1"/>
  <c r="L7" i="13"/>
  <c r="J7" i="13"/>
  <c r="H7" i="13"/>
  <c r="J6" i="13"/>
  <c r="L6" i="13" s="1"/>
  <c r="H6" i="13"/>
  <c r="J5" i="13"/>
  <c r="H5" i="13"/>
  <c r="L5" i="13" s="1"/>
  <c r="H18" i="12"/>
  <c r="L18" i="12" s="1"/>
  <c r="H17" i="12"/>
  <c r="L17" i="12" s="1"/>
  <c r="H16" i="12"/>
  <c r="L16" i="12" s="1"/>
  <c r="H15" i="12"/>
  <c r="L15" i="12" s="1"/>
  <c r="H14" i="12"/>
  <c r="L14" i="12" s="1"/>
  <c r="H13" i="12"/>
  <c r="L13" i="12" s="1"/>
  <c r="H12" i="12"/>
  <c r="L12" i="12" s="1"/>
  <c r="L11" i="12"/>
  <c r="H11" i="12"/>
  <c r="J10" i="12"/>
  <c r="H10" i="12"/>
  <c r="L10" i="12" s="1"/>
  <c r="L9" i="12"/>
  <c r="J9" i="12"/>
  <c r="H9" i="12"/>
  <c r="J8" i="12"/>
  <c r="H8" i="12"/>
  <c r="J7" i="12"/>
  <c r="H7" i="12"/>
  <c r="L7" i="12" s="1"/>
  <c r="J6" i="12"/>
  <c r="L6" i="12" s="1"/>
  <c r="H6" i="12"/>
  <c r="J5" i="12"/>
  <c r="H5" i="12"/>
  <c r="H18" i="11"/>
  <c r="L18" i="11" s="1"/>
  <c r="L17" i="11"/>
  <c r="H17" i="11"/>
  <c r="H16" i="11"/>
  <c r="L16" i="11" s="1"/>
  <c r="L15" i="11"/>
  <c r="H15" i="11"/>
  <c r="H14" i="11"/>
  <c r="L14" i="11" s="1"/>
  <c r="L13" i="11"/>
  <c r="H13" i="11"/>
  <c r="H12" i="11"/>
  <c r="L12" i="11" s="1"/>
  <c r="L11" i="11"/>
  <c r="H11" i="11"/>
  <c r="J10" i="11"/>
  <c r="H10" i="11"/>
  <c r="L10" i="11" s="1"/>
  <c r="L9" i="11"/>
  <c r="J9" i="11"/>
  <c r="H9" i="11"/>
  <c r="J8" i="11"/>
  <c r="H8" i="11"/>
  <c r="L8" i="11" s="1"/>
  <c r="L7" i="11"/>
  <c r="J7" i="11"/>
  <c r="H7" i="11"/>
  <c r="L6" i="11"/>
  <c r="J6" i="11"/>
  <c r="H6" i="11"/>
  <c r="J5" i="11"/>
  <c r="H5" i="11"/>
  <c r="L5" i="11" s="1"/>
  <c r="H18" i="9"/>
  <c r="L18" i="9" s="1"/>
  <c r="H17" i="9"/>
  <c r="L17" i="9" s="1"/>
  <c r="H16" i="9"/>
  <c r="L16" i="9" s="1"/>
  <c r="H15" i="9"/>
  <c r="L15" i="9" s="1"/>
  <c r="H14" i="9"/>
  <c r="L14" i="9" s="1"/>
  <c r="H13" i="9"/>
  <c r="L13" i="9" s="1"/>
  <c r="H12" i="9"/>
  <c r="L12" i="9" s="1"/>
  <c r="L11" i="9"/>
  <c r="H11" i="9"/>
  <c r="L10" i="9"/>
  <c r="J10" i="9"/>
  <c r="H10" i="9"/>
  <c r="L9" i="9"/>
  <c r="J9" i="9"/>
  <c r="H9" i="9"/>
  <c r="J8" i="9"/>
  <c r="L8" i="9" s="1"/>
  <c r="H8" i="9"/>
  <c r="J7" i="9"/>
  <c r="H7" i="9"/>
  <c r="L7" i="9" s="1"/>
  <c r="L6" i="9"/>
  <c r="J6" i="9"/>
  <c r="H6" i="9"/>
  <c r="J5" i="9"/>
  <c r="L5" i="9" s="1"/>
  <c r="H5" i="9"/>
  <c r="L8" i="12" l="1"/>
  <c r="L5" i="12"/>
  <c r="I22" i="13"/>
  <c r="E22" i="13"/>
  <c r="A22" i="13"/>
  <c r="C22" i="13"/>
  <c r="F22" i="13"/>
  <c r="B22" i="13"/>
  <c r="H22" i="13"/>
  <c r="D22" i="13"/>
  <c r="G22" i="13"/>
  <c r="F22" i="12"/>
  <c r="B22" i="12"/>
  <c r="D22" i="12"/>
  <c r="C22" i="12"/>
  <c r="I22" i="12"/>
  <c r="E22" i="12"/>
  <c r="A22" i="12"/>
  <c r="H22" i="12"/>
  <c r="G22" i="12"/>
  <c r="F22" i="11"/>
  <c r="B22" i="11"/>
  <c r="I22" i="11"/>
  <c r="E22" i="11"/>
  <c r="A22" i="11"/>
  <c r="H22" i="11"/>
  <c r="D22" i="11"/>
  <c r="G22" i="11"/>
  <c r="C22" i="11"/>
  <c r="F22" i="9"/>
  <c r="B22" i="9"/>
  <c r="I22" i="9"/>
  <c r="E22" i="9"/>
  <c r="A22" i="9"/>
  <c r="H22" i="9"/>
  <c r="D22" i="9"/>
  <c r="G22" i="9"/>
  <c r="C22" i="9"/>
  <c r="H18" i="5"/>
  <c r="L18" i="5" s="1"/>
  <c r="H17" i="5"/>
  <c r="L17" i="5" s="1"/>
  <c r="H16" i="5"/>
  <c r="L16" i="5" s="1"/>
  <c r="H15" i="5"/>
  <c r="L15" i="5" s="1"/>
  <c r="H14" i="5"/>
  <c r="L14" i="5" s="1"/>
  <c r="H13" i="5"/>
  <c r="L13" i="5" s="1"/>
  <c r="H12" i="5"/>
  <c r="L12" i="5" s="1"/>
  <c r="H11" i="5"/>
  <c r="L11" i="5" s="1"/>
  <c r="J10" i="5"/>
  <c r="H10" i="5"/>
  <c r="J9" i="5"/>
  <c r="H9" i="5"/>
  <c r="J8" i="5"/>
  <c r="H8" i="5"/>
  <c r="L8" i="5" s="1"/>
  <c r="J7" i="5"/>
  <c r="H7" i="5"/>
  <c r="J6" i="5"/>
  <c r="H6" i="5"/>
  <c r="L6" i="5" s="1"/>
  <c r="J5" i="5"/>
  <c r="H5" i="5"/>
  <c r="J22" i="13" l="1"/>
  <c r="P7" i="13" s="1"/>
  <c r="J22" i="12"/>
  <c r="Q11" i="12" s="1"/>
  <c r="J22" i="11"/>
  <c r="Q9" i="11" s="1"/>
  <c r="J22" i="9"/>
  <c r="Q11" i="9" s="1"/>
  <c r="L10" i="5"/>
  <c r="L9" i="5"/>
  <c r="L7" i="5"/>
  <c r="L5" i="5"/>
  <c r="I22" i="5" s="1"/>
  <c r="B22" i="5"/>
  <c r="A22" i="5"/>
  <c r="H22" i="5"/>
  <c r="D22" i="5"/>
  <c r="G22" i="5"/>
  <c r="C22" i="5"/>
  <c r="Q9" i="13" l="1"/>
  <c r="R7" i="13"/>
  <c r="R11" i="13"/>
  <c r="P11" i="13"/>
  <c r="Q7" i="13"/>
  <c r="Q11" i="13"/>
  <c r="P9" i="13"/>
  <c r="R9" i="13"/>
  <c r="R11" i="12"/>
  <c r="R9" i="12"/>
  <c r="P7" i="12"/>
  <c r="R7" i="12"/>
  <c r="P9" i="12"/>
  <c r="Q7" i="12"/>
  <c r="P11" i="12"/>
  <c r="Q9" i="12"/>
  <c r="R11" i="11"/>
  <c r="P11" i="11"/>
  <c r="P9" i="11"/>
  <c r="Q7" i="11"/>
  <c r="R9" i="11"/>
  <c r="P7" i="11"/>
  <c r="R7" i="11"/>
  <c r="Q11" i="11"/>
  <c r="P11" i="9"/>
  <c r="Q9" i="9"/>
  <c r="P9" i="9"/>
  <c r="R9" i="9"/>
  <c r="R11" i="9"/>
  <c r="P7" i="9"/>
  <c r="R7" i="9"/>
  <c r="Q7" i="9"/>
  <c r="F22" i="5"/>
  <c r="E22" i="5"/>
  <c r="J22" i="5" s="1"/>
  <c r="Q11" i="5" s="1"/>
  <c r="R11" i="5" l="1"/>
  <c r="P7" i="5"/>
  <c r="P11" i="5"/>
  <c r="P9" i="5"/>
  <c r="Q7" i="5"/>
  <c r="Q9" i="5"/>
  <c r="R9" i="5"/>
  <c r="R7" i="5"/>
</calcChain>
</file>

<file path=xl/sharedStrings.xml><?xml version="1.0" encoding="utf-8"?>
<sst xmlns="http://schemas.openxmlformats.org/spreadsheetml/2006/main" count="496" uniqueCount="104">
  <si>
    <t>Timing</t>
  </si>
  <si>
    <t>Activities deliver's Value</t>
  </si>
  <si>
    <t>Value Category</t>
  </si>
  <si>
    <t>Impact</t>
  </si>
  <si>
    <t>Effort</t>
  </si>
  <si>
    <t>Final Status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</si>
  <si>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</si>
  <si>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</si>
  <si>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</si>
  <si>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</si>
  <si>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</si>
  <si>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</si>
  <si>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</si>
  <si>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Monetary</t>
  </si>
  <si>
    <t>12:00-01:00</t>
  </si>
  <si>
    <t>01:00-02:00</t>
  </si>
  <si>
    <t>Productivity</t>
  </si>
  <si>
    <t>02:00-03:00</t>
  </si>
  <si>
    <t>Performance</t>
  </si>
  <si>
    <t>03:00-04:00</t>
  </si>
  <si>
    <t>04:00-05:00</t>
  </si>
  <si>
    <t>HL</t>
  </si>
  <si>
    <t>HH</t>
  </si>
  <si>
    <t>LH</t>
  </si>
  <si>
    <t>LL</t>
  </si>
  <si>
    <t>Effort Score</t>
  </si>
  <si>
    <t>High</t>
  </si>
  <si>
    <t>Medium</t>
  </si>
  <si>
    <t>Low</t>
  </si>
  <si>
    <t>Scoring Category</t>
  </si>
  <si>
    <t>Numbering</t>
  </si>
  <si>
    <t>Between 5-7</t>
  </si>
  <si>
    <t>Below 5</t>
  </si>
  <si>
    <t>Above 7</t>
  </si>
  <si>
    <t>Resources</t>
  </si>
  <si>
    <t>Learning/Upskilling</t>
  </si>
  <si>
    <t>Quick Win</t>
  </si>
  <si>
    <t>Major Project</t>
  </si>
  <si>
    <t>Fill Ins</t>
  </si>
  <si>
    <t>Thankless Task</t>
  </si>
  <si>
    <t>Strategic Decision</t>
  </si>
  <si>
    <t>Recommended Decision</t>
  </si>
  <si>
    <t>Why?</t>
  </si>
  <si>
    <t>DO IT NOW</t>
  </si>
  <si>
    <t>The "Golden Opportunity."</t>
  </si>
  <si>
    <t>Med</t>
  </si>
  <si>
    <t>DO IT NEXT</t>
  </si>
  <si>
    <t>High ROI; don't let planning become a delay.</t>
  </si>
  <si>
    <t>STRATEGIZE</t>
  </si>
  <si>
    <t>Break into smaller sub-tasks to reduce effort.</t>
  </si>
  <si>
    <t>QUICK WIN</t>
  </si>
  <si>
    <t>SCHEDULE</t>
  </si>
  <si>
    <t>Standard work; do when "High" tasks are in progress.</t>
  </si>
  <si>
    <t>DEFER / REVIEW</t>
  </si>
  <si>
    <t>Often not worth the burn. Re-evaluate if impact can be higher.</t>
  </si>
  <si>
    <t>BATCH / DELEGATE</t>
  </si>
  <si>
    <t>Don't do these individually. Group them for a "Friday Afternoon" slot.</t>
  </si>
  <si>
    <t>ELIMINATE</t>
  </si>
  <si>
    <t>The reward isn't worth the middle-ground effort.</t>
  </si>
  <si>
    <t>KILL</t>
  </si>
  <si>
    <t>Absolute waste of resources.</t>
  </si>
  <si>
    <t>Just do it to clear your plate and build momentum.</t>
  </si>
  <si>
    <t>High Val</t>
  </si>
  <si>
    <t>Med Val</t>
  </si>
  <si>
    <t>Low Val</t>
  </si>
  <si>
    <t>High Eff</t>
  </si>
  <si>
    <t>Med Eff</t>
  </si>
  <si>
    <t>Low Eff</t>
  </si>
  <si>
    <t>HM</t>
  </si>
  <si>
    <t>ML</t>
  </si>
  <si>
    <t>MM</t>
  </si>
  <si>
    <t>MH</t>
  </si>
  <si>
    <t>LM</t>
  </si>
  <si>
    <t>Total Count</t>
  </si>
  <si>
    <t>Value</t>
  </si>
  <si>
    <t>Value Score</t>
  </si>
  <si>
    <t>Recom Decision</t>
  </si>
  <si>
    <t xml:space="preserve">Value Vs Effort </t>
  </si>
  <si>
    <t>Value Vs Effort Calculator</t>
  </si>
  <si>
    <t>DO IT NOW/HL</t>
  </si>
  <si>
    <t>DO IT NEXT/HM</t>
  </si>
  <si>
    <t>STRATEGIZE/HH</t>
  </si>
  <si>
    <t>QUICK WIN/ML</t>
  </si>
  <si>
    <t>SCHEDULE/MM</t>
  </si>
  <si>
    <t>DEFER / REVIEW / MH</t>
  </si>
  <si>
    <t>BATCH / DELEGATE / LL</t>
  </si>
  <si>
    <t>ELIMINATE / LM</t>
  </si>
  <si>
    <t>KILL / LH</t>
  </si>
  <si>
    <t>Monday</t>
  </si>
  <si>
    <t>Tuesday</t>
  </si>
  <si>
    <t>Wednesday</t>
  </si>
  <si>
    <t>Thursday</t>
  </si>
  <si>
    <t>Friday</t>
  </si>
  <si>
    <t>Days</t>
  </si>
  <si>
    <t>Dates</t>
  </si>
  <si>
    <t>Value Vs Efforts</t>
  </si>
  <si>
    <t>Identify Insight of Complaints for strategic decision</t>
  </si>
  <si>
    <t>Follow Up on Refund Policy for Payments</t>
  </si>
  <si>
    <t xml:space="preserve">Train 10 member with new technologies </t>
  </si>
  <si>
    <t>Prepare plan to remove unwanted activities in business</t>
  </si>
  <si>
    <t>Discuss the proposal for investment purpose</t>
  </si>
  <si>
    <t xml:space="preserve">Training the people having will issue </t>
  </si>
  <si>
    <t>Status / Owner</t>
  </si>
  <si>
    <t>In Progress/Dilip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</si>
</sst>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u/>
      <sz val="17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3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u/>
      <sz val="20"/>
      <color theme="0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b/>
      <i/>
      <u/>
      <sz val="11"/>
      <color theme="5" tint="-0.249977111117893"/>
      <name val="Calibri"/>
      <family val="2"/>
      <scheme val="minor"/>
    </font>
    <font>
      <b/>
      <i/>
      <u/>
      <sz val="11"/>
      <color rgb="FF00B05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4" fillId="0" borderId="4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5" fillId="0" borderId="4" xfId="0" applyFont="1" applyBorder="1"/>
    <xf numFmtId="16" fontId="5" fillId="0" borderId="4" xfId="0" applyNumberFormat="1" applyFont="1" applyBorder="1"/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10" fontId="3" fillId="4" borderId="8" xfId="1" applyNumberFormat="1" applyFont="1" applyFill="1" applyBorder="1" applyAlignment="1">
      <alignment horizontal="center" vertical="center"/>
    </xf>
    <xf numFmtId="10" fontId="3" fillId="4" borderId="9" xfId="1" applyNumberFormat="1" applyFont="1" applyFill="1" applyBorder="1" applyAlignment="1">
      <alignment horizontal="center" vertical="center"/>
    </xf>
    <xf numFmtId="10" fontId="3" fillId="5" borderId="8" xfId="1" applyNumberFormat="1" applyFont="1" applyFill="1" applyBorder="1" applyAlignment="1">
      <alignment horizontal="center" vertical="center"/>
    </xf>
    <xf numFmtId="10" fontId="3" fillId="5" borderId="9" xfId="1" applyNumberFormat="1" applyFont="1" applyFill="1" applyBorder="1" applyAlignment="1">
      <alignment horizontal="center" vertical="center"/>
    </xf>
    <xf numFmtId="10" fontId="3" fillId="6" borderId="8" xfId="1" applyNumberFormat="1" applyFont="1" applyFill="1" applyBorder="1" applyAlignment="1">
      <alignment horizontal="center" vertical="center"/>
    </xf>
    <xf numFmtId="10" fontId="3" fillId="6" borderId="9" xfId="1" applyNumberFormat="1" applyFont="1" applyFill="1" applyBorder="1" applyAlignment="1">
      <alignment horizontal="center" vertical="center"/>
    </xf>
    <xf numFmtId="10" fontId="3" fillId="7" borderId="8" xfId="1" applyNumberFormat="1" applyFont="1" applyFill="1" applyBorder="1" applyAlignment="1">
      <alignment horizontal="center" vertical="center"/>
    </xf>
    <xf numFmtId="10" fontId="3" fillId="7" borderId="9" xfId="1" applyNumberFormat="1" applyFont="1" applyFill="1" applyBorder="1" applyAlignment="1">
      <alignment horizontal="center" vertical="center"/>
    </xf>
    <xf numFmtId="10" fontId="3" fillId="8" borderId="8" xfId="1" applyNumberFormat="1" applyFont="1" applyFill="1" applyBorder="1" applyAlignment="1">
      <alignment horizontal="center" vertical="center"/>
    </xf>
    <xf numFmtId="10" fontId="3" fillId="8" borderId="9" xfId="1" applyNumberFormat="1" applyFont="1" applyFill="1" applyBorder="1" applyAlignment="1">
      <alignment horizontal="center" vertical="center"/>
    </xf>
    <xf numFmtId="10" fontId="3" fillId="3" borderId="8" xfId="1" applyNumberFormat="1" applyFont="1" applyFill="1" applyBorder="1" applyAlignment="1">
      <alignment horizontal="center" vertical="center"/>
    </xf>
    <xf numFmtId="10" fontId="3" fillId="3" borderId="9" xfId="1" applyNumberFormat="1" applyFont="1" applyFill="1" applyBorder="1" applyAlignment="1">
      <alignment horizontal="center" vertical="center"/>
    </xf>
    <xf numFmtId="10" fontId="3" fillId="9" borderId="8" xfId="1" applyNumberFormat="1" applyFont="1" applyFill="1" applyBorder="1" applyAlignment="1">
      <alignment horizontal="center" vertical="center"/>
    </xf>
    <xf numFmtId="10" fontId="3" fillId="9" borderId="9" xfId="1" applyNumberFormat="1" applyFont="1" applyFill="1" applyBorder="1" applyAlignment="1">
      <alignment horizontal="center" vertical="center"/>
    </xf>
    <xf numFmtId="10" fontId="3" fillId="10" borderId="8" xfId="1" applyNumberFormat="1" applyFont="1" applyFill="1" applyBorder="1" applyAlignment="1">
      <alignment horizontal="center" vertical="center"/>
    </xf>
    <xf numFmtId="10" fontId="3" fillId="10" borderId="9" xfId="1" applyNumberFormat="1" applyFont="1" applyFill="1" applyBorder="1" applyAlignment="1">
      <alignment horizontal="center" vertical="center"/>
    </xf>
    <xf numFmtId="10" fontId="1" fillId="0" borderId="8" xfId="1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11" borderId="4" xfId="0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10" fontId="0" fillId="0" borderId="4" xfId="0" applyNumberForma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5"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Value</a:t>
            </a:r>
            <a:r>
              <a:rPr lang="en-IN" b="1" baseline="0">
                <a:solidFill>
                  <a:schemeClr val="tx1"/>
                </a:solidFill>
              </a:rPr>
              <a:t> Vs Efforts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0562028786840301E-2"/>
          <c:y val="0.17171296296296298"/>
          <c:w val="0.97486863148275071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'Overall View'!$B$5</c:f>
              <c:strCache>
                <c:ptCount val="1"/>
                <c:pt idx="0">
                  <c:v>Monday</c:v>
                </c:pt>
              </c:strCache>
            </c:strRef>
          </c:tx>
          <c:spPr>
            <a:ln w="28575" cap="rnd">
              <a:solidFill>
                <a:schemeClr val="accent2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'Overall View'!$C$4:$K$4</c:f>
              <c:strCache>
                <c:ptCount val="9"/>
                <c:pt idx="0">
                  <c:v>DO IT NOW/HL</c:v>
                </c:pt>
                <c:pt idx="1">
                  <c:v>DO IT NEXT/HM</c:v>
                </c:pt>
                <c:pt idx="2">
                  <c:v>STRATEGIZE/HH</c:v>
                </c:pt>
                <c:pt idx="3">
                  <c:v>QUICK WIN/ML</c:v>
                </c:pt>
                <c:pt idx="4">
                  <c:v>SCHEDULE/MM</c:v>
                </c:pt>
                <c:pt idx="5">
                  <c:v>DEFER / REVIEW / MH</c:v>
                </c:pt>
                <c:pt idx="6">
                  <c:v>BATCH / DELEGATE / LL</c:v>
                </c:pt>
                <c:pt idx="7">
                  <c:v>ELIMINATE / LM</c:v>
                </c:pt>
                <c:pt idx="8">
                  <c:v>KILL / LH</c:v>
                </c:pt>
              </c:strCache>
            </c:strRef>
          </c:cat>
          <c:val>
            <c:numRef>
              <c:f>'Overall View'!$C$5:$K$5</c:f>
              <c:numCache>
                <c:formatCode>0.00%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6-4512-91D7-261344F4FDF8}"/>
            </c:ext>
          </c:extLst>
        </c:ser>
        <c:ser>
          <c:idx val="1"/>
          <c:order val="1"/>
          <c:tx>
            <c:strRef>
              <c:f>'Overall View'!$B$6</c:f>
              <c:strCache>
                <c:ptCount val="1"/>
                <c:pt idx="0">
                  <c:v>Tuesday</c:v>
                </c:pt>
              </c:strCache>
            </c:strRef>
          </c:tx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'Overall View'!$C$4:$K$4</c:f>
              <c:strCache>
                <c:ptCount val="9"/>
                <c:pt idx="0">
                  <c:v>DO IT NOW/HL</c:v>
                </c:pt>
                <c:pt idx="1">
                  <c:v>DO IT NEXT/HM</c:v>
                </c:pt>
                <c:pt idx="2">
                  <c:v>STRATEGIZE/HH</c:v>
                </c:pt>
                <c:pt idx="3">
                  <c:v>QUICK WIN/ML</c:v>
                </c:pt>
                <c:pt idx="4">
                  <c:v>SCHEDULE/MM</c:v>
                </c:pt>
                <c:pt idx="5">
                  <c:v>DEFER / REVIEW / MH</c:v>
                </c:pt>
                <c:pt idx="6">
                  <c:v>BATCH / DELEGATE / LL</c:v>
                </c:pt>
                <c:pt idx="7">
                  <c:v>ELIMINATE / LM</c:v>
                </c:pt>
                <c:pt idx="8">
                  <c:v>KILL / LH</c:v>
                </c:pt>
              </c:strCache>
            </c:strRef>
          </c:cat>
          <c:val>
            <c:numRef>
              <c:f>'Overall View'!$C$6:$K$6</c:f>
              <c:numCache>
                <c:formatCode>0.00%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36-4512-91D7-261344F4FDF8}"/>
            </c:ext>
          </c:extLst>
        </c:ser>
        <c:ser>
          <c:idx val="2"/>
          <c:order val="2"/>
          <c:tx>
            <c:strRef>
              <c:f>'Overall View'!$B$7</c:f>
              <c:strCache>
                <c:ptCount val="1"/>
                <c:pt idx="0">
                  <c:v>Wednesday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'Overall View'!$C$4:$K$4</c:f>
              <c:strCache>
                <c:ptCount val="9"/>
                <c:pt idx="0">
                  <c:v>DO IT NOW/HL</c:v>
                </c:pt>
                <c:pt idx="1">
                  <c:v>DO IT NEXT/HM</c:v>
                </c:pt>
                <c:pt idx="2">
                  <c:v>STRATEGIZE/HH</c:v>
                </c:pt>
                <c:pt idx="3">
                  <c:v>QUICK WIN/ML</c:v>
                </c:pt>
                <c:pt idx="4">
                  <c:v>SCHEDULE/MM</c:v>
                </c:pt>
                <c:pt idx="5">
                  <c:v>DEFER / REVIEW / MH</c:v>
                </c:pt>
                <c:pt idx="6">
                  <c:v>BATCH / DELEGATE / LL</c:v>
                </c:pt>
                <c:pt idx="7">
                  <c:v>ELIMINATE / LM</c:v>
                </c:pt>
                <c:pt idx="8">
                  <c:v>KILL / LH</c:v>
                </c:pt>
              </c:strCache>
            </c:strRef>
          </c:cat>
          <c:val>
            <c:numRef>
              <c:f>'Overall View'!$C$7:$K$7</c:f>
              <c:numCache>
                <c:formatCode>0.00%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36-4512-91D7-261344F4FDF8}"/>
            </c:ext>
          </c:extLst>
        </c:ser>
        <c:ser>
          <c:idx val="3"/>
          <c:order val="3"/>
          <c:tx>
            <c:strRef>
              <c:f>'Overall View'!$B$8</c:f>
              <c:strCache>
                <c:ptCount val="1"/>
                <c:pt idx="0">
                  <c:v>Thursday</c:v>
                </c:pt>
              </c:strCache>
            </c:strRef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'Overall View'!$C$4:$K$4</c:f>
              <c:strCache>
                <c:ptCount val="9"/>
                <c:pt idx="0">
                  <c:v>DO IT NOW/HL</c:v>
                </c:pt>
                <c:pt idx="1">
                  <c:v>DO IT NEXT/HM</c:v>
                </c:pt>
                <c:pt idx="2">
                  <c:v>STRATEGIZE/HH</c:v>
                </c:pt>
                <c:pt idx="3">
                  <c:v>QUICK WIN/ML</c:v>
                </c:pt>
                <c:pt idx="4">
                  <c:v>SCHEDULE/MM</c:v>
                </c:pt>
                <c:pt idx="5">
                  <c:v>DEFER / REVIEW / MH</c:v>
                </c:pt>
                <c:pt idx="6">
                  <c:v>BATCH / DELEGATE / LL</c:v>
                </c:pt>
                <c:pt idx="7">
                  <c:v>ELIMINATE / LM</c:v>
                </c:pt>
                <c:pt idx="8">
                  <c:v>KILL / LH</c:v>
                </c:pt>
              </c:strCache>
            </c:strRef>
          </c:cat>
          <c:val>
            <c:numRef>
              <c:f>'Overall View'!$C$8:$K$8</c:f>
              <c:numCache>
                <c:formatCode>0.00%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36-4512-91D7-261344F4FDF8}"/>
            </c:ext>
          </c:extLst>
        </c:ser>
        <c:ser>
          <c:idx val="4"/>
          <c:order val="4"/>
          <c:tx>
            <c:strRef>
              <c:f>'Overall View'!$B$9</c:f>
              <c:strCache>
                <c:ptCount val="1"/>
                <c:pt idx="0">
                  <c:v>Friday</c:v>
                </c:pt>
              </c:strCache>
            </c:strRef>
          </c:tx>
          <c:spPr>
            <a:ln w="28575" cap="rnd">
              <a:solidFill>
                <a:schemeClr val="accent2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'Overall View'!$C$4:$K$4</c:f>
              <c:strCache>
                <c:ptCount val="9"/>
                <c:pt idx="0">
                  <c:v>DO IT NOW/HL</c:v>
                </c:pt>
                <c:pt idx="1">
                  <c:v>DO IT NEXT/HM</c:v>
                </c:pt>
                <c:pt idx="2">
                  <c:v>STRATEGIZE/HH</c:v>
                </c:pt>
                <c:pt idx="3">
                  <c:v>QUICK WIN/ML</c:v>
                </c:pt>
                <c:pt idx="4">
                  <c:v>SCHEDULE/MM</c:v>
                </c:pt>
                <c:pt idx="5">
                  <c:v>DEFER / REVIEW / MH</c:v>
                </c:pt>
                <c:pt idx="6">
                  <c:v>BATCH / DELEGATE / LL</c:v>
                </c:pt>
                <c:pt idx="7">
                  <c:v>ELIMINATE / LM</c:v>
                </c:pt>
                <c:pt idx="8">
                  <c:v>KILL / LH</c:v>
                </c:pt>
              </c:strCache>
            </c:strRef>
          </c:cat>
          <c:val>
            <c:numRef>
              <c:f>'Overall View'!$C$9:$K$9</c:f>
              <c:numCache>
                <c:formatCode>0.00%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36-4512-91D7-261344F4F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5459071"/>
        <c:axId val="975460031"/>
      </c:lineChart>
      <c:catAx>
        <c:axId val="97545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460031"/>
        <c:crosses val="autoZero"/>
        <c:auto val="1"/>
        <c:lblAlgn val="ctr"/>
        <c:lblOffset val="100"/>
        <c:noMultiLvlLbl val="0"/>
      </c:catAx>
      <c:valAx>
        <c:axId val="97546003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7545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49530</xdr:rowOff>
    </xdr:from>
    <xdr:to>
      <xdr:col>10</xdr:col>
      <xdr:colOff>723900</xdr:colOff>
      <xdr:row>25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E3BD7A-D4E5-2B59-CB4C-308317574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114300</xdr:colOff>
      <xdr:row>3</xdr:row>
      <xdr:rowOff>167640</xdr:rowOff>
    </xdr:from>
    <xdr:to>
      <xdr:col>21</xdr:col>
      <xdr:colOff>571500</xdr:colOff>
      <xdr:row>26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1C6E975-2CA1-487F-B5A0-B426F61D734E}"/>
            </a:ext>
          </a:extLst>
        </xdr:cNvPr>
        <xdr:cNvSpPr/>
      </xdr:nvSpPr>
      <xdr:spPr>
        <a:xfrm>
          <a:off x="12954000" y="716280"/>
          <a:ext cx="2529840" cy="407670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bg2"/>
              </a:solidFill>
            </a:rPr>
            <a:t>Comments: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114300</xdr:colOff>
      <xdr:row>3</xdr:row>
      <xdr:rowOff>167640</xdr:rowOff>
    </xdr:from>
    <xdr:to>
      <xdr:col>21</xdr:col>
      <xdr:colOff>571500</xdr:colOff>
      <xdr:row>26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5FA8815-1E6C-4B03-8731-80445D85123B}"/>
            </a:ext>
          </a:extLst>
        </xdr:cNvPr>
        <xdr:cNvSpPr/>
      </xdr:nvSpPr>
      <xdr:spPr>
        <a:xfrm>
          <a:off x="12954000" y="716280"/>
          <a:ext cx="2529840" cy="407670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bg2"/>
              </a:solidFill>
            </a:rPr>
            <a:t>Comments: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114300</xdr:colOff>
      <xdr:row>3</xdr:row>
      <xdr:rowOff>167640</xdr:rowOff>
    </xdr:from>
    <xdr:to>
      <xdr:col>21</xdr:col>
      <xdr:colOff>571500</xdr:colOff>
      <xdr:row>26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57B1D98-5E77-4805-8475-D3A7498FB728}"/>
            </a:ext>
          </a:extLst>
        </xdr:cNvPr>
        <xdr:cNvSpPr/>
      </xdr:nvSpPr>
      <xdr:spPr>
        <a:xfrm>
          <a:off x="11422380" y="716280"/>
          <a:ext cx="2529840" cy="407670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bg2"/>
              </a:solidFill>
            </a:rPr>
            <a:t>Comments: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114300</xdr:colOff>
      <xdr:row>3</xdr:row>
      <xdr:rowOff>167640</xdr:rowOff>
    </xdr:from>
    <xdr:to>
      <xdr:col>21</xdr:col>
      <xdr:colOff>571500</xdr:colOff>
      <xdr:row>26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FFF1C46-FCEB-4183-8694-CB2F1483DF6A}"/>
            </a:ext>
          </a:extLst>
        </xdr:cNvPr>
        <xdr:cNvSpPr/>
      </xdr:nvSpPr>
      <xdr:spPr>
        <a:xfrm>
          <a:off x="12954000" y="716280"/>
          <a:ext cx="2529840" cy="407670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bg2"/>
              </a:solidFill>
            </a:rPr>
            <a:t>Comments: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114300</xdr:colOff>
      <xdr:row>3</xdr:row>
      <xdr:rowOff>167640</xdr:rowOff>
    </xdr:from>
    <xdr:to>
      <xdr:col>21</xdr:col>
      <xdr:colOff>571500</xdr:colOff>
      <xdr:row>26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7F8D99C-6444-4C1E-A444-B0CF1E3D6B1F}"/>
            </a:ext>
          </a:extLst>
        </xdr:cNvPr>
        <xdr:cNvSpPr/>
      </xdr:nvSpPr>
      <xdr:spPr>
        <a:xfrm>
          <a:off x="12954000" y="716280"/>
          <a:ext cx="2529840" cy="407670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>
              <a:solidFill>
                <a:schemeClr val="bg2"/>
              </a:solidFill>
            </a:rPr>
            <a:t>Comments: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0CABD-BD69-409E-8056-97448453AF58}">
  <dimension ref="B2:N11"/>
  <sheetViews>
    <sheetView topLeftCell="J1" workbookViewId="0">
      <selection activeCell="M3" sqref="M3:M11"/>
    </sheetView>
  </sheetViews>
  <sheetFormatPr defaultRowHeight="14.4" x14ac:dyDescent="0.3"/>
  <cols>
    <col min="2" max="2" width="15.88671875" bestFit="1" customWidth="1"/>
    <col min="3" max="3" width="11.109375" bestFit="1" customWidth="1"/>
    <col min="5" max="5" width="17.33203125" customWidth="1"/>
    <col min="9" max="9" width="15.33203125" customWidth="1"/>
    <col min="11" max="11" width="9.6640625" customWidth="1"/>
    <col min="12" max="12" width="7.88671875" customWidth="1"/>
    <col min="13" max="13" width="21.77734375" bestFit="1" customWidth="1"/>
    <col min="14" max="14" width="58.33203125" bestFit="1" customWidth="1"/>
  </cols>
  <sheetData>
    <row r="2" spans="2:14" x14ac:dyDescent="0.3">
      <c r="B2" s="19" t="s">
        <v>29</v>
      </c>
      <c r="C2" s="19" t="s">
        <v>30</v>
      </c>
      <c r="E2" s="17" t="s">
        <v>2</v>
      </c>
      <c r="I2" t="s">
        <v>40</v>
      </c>
      <c r="K2" s="19" t="s">
        <v>3</v>
      </c>
      <c r="L2" s="19" t="s">
        <v>4</v>
      </c>
      <c r="M2" s="19" t="s">
        <v>41</v>
      </c>
      <c r="N2" s="19" t="s">
        <v>42</v>
      </c>
    </row>
    <row r="3" spans="2:14" x14ac:dyDescent="0.3">
      <c r="B3" s="5" t="s">
        <v>26</v>
      </c>
      <c r="C3" s="5" t="s">
        <v>33</v>
      </c>
      <c r="E3" s="4" t="s">
        <v>13</v>
      </c>
      <c r="I3" t="s">
        <v>36</v>
      </c>
      <c r="K3" s="3" t="s">
        <v>26</v>
      </c>
      <c r="L3" s="3" t="s">
        <v>28</v>
      </c>
      <c r="M3" s="3" t="s">
        <v>43</v>
      </c>
      <c r="N3" s="3" t="s">
        <v>44</v>
      </c>
    </row>
    <row r="4" spans="2:14" x14ac:dyDescent="0.3">
      <c r="B4" s="5" t="s">
        <v>27</v>
      </c>
      <c r="C4" s="6" t="s">
        <v>31</v>
      </c>
      <c r="E4" s="4" t="s">
        <v>34</v>
      </c>
      <c r="I4" t="s">
        <v>37</v>
      </c>
      <c r="K4" s="3" t="s">
        <v>26</v>
      </c>
      <c r="L4" s="3" t="s">
        <v>45</v>
      </c>
      <c r="M4" s="3" t="s">
        <v>46</v>
      </c>
      <c r="N4" s="3" t="s">
        <v>47</v>
      </c>
    </row>
    <row r="5" spans="2:14" x14ac:dyDescent="0.3">
      <c r="B5" s="5" t="s">
        <v>28</v>
      </c>
      <c r="C5" s="5" t="s">
        <v>32</v>
      </c>
      <c r="E5" s="4" t="s">
        <v>18</v>
      </c>
      <c r="I5" t="s">
        <v>38</v>
      </c>
      <c r="K5" s="3" t="s">
        <v>26</v>
      </c>
      <c r="L5" s="3" t="s">
        <v>26</v>
      </c>
      <c r="M5" s="3" t="s">
        <v>48</v>
      </c>
      <c r="N5" s="3" t="s">
        <v>49</v>
      </c>
    </row>
    <row r="6" spans="2:14" x14ac:dyDescent="0.3">
      <c r="E6" s="4" t="s">
        <v>16</v>
      </c>
      <c r="I6" t="s">
        <v>39</v>
      </c>
      <c r="K6" s="3" t="s">
        <v>45</v>
      </c>
      <c r="L6" s="3" t="s">
        <v>28</v>
      </c>
      <c r="M6" s="3" t="s">
        <v>50</v>
      </c>
      <c r="N6" s="3" t="s">
        <v>61</v>
      </c>
    </row>
    <row r="7" spans="2:14" x14ac:dyDescent="0.3">
      <c r="E7" s="4" t="s">
        <v>35</v>
      </c>
      <c r="K7" s="3" t="s">
        <v>45</v>
      </c>
      <c r="L7" s="3" t="s">
        <v>45</v>
      </c>
      <c r="M7" s="3" t="s">
        <v>51</v>
      </c>
      <c r="N7" s="3" t="s">
        <v>52</v>
      </c>
    </row>
    <row r="8" spans="2:14" x14ac:dyDescent="0.3">
      <c r="K8" s="3" t="s">
        <v>45</v>
      </c>
      <c r="L8" s="3" t="s">
        <v>26</v>
      </c>
      <c r="M8" s="3" t="s">
        <v>53</v>
      </c>
      <c r="N8" s="3" t="s">
        <v>54</v>
      </c>
    </row>
    <row r="9" spans="2:14" x14ac:dyDescent="0.3">
      <c r="K9" s="3" t="s">
        <v>28</v>
      </c>
      <c r="L9" s="3" t="s">
        <v>28</v>
      </c>
      <c r="M9" s="3" t="s">
        <v>55</v>
      </c>
      <c r="N9" s="3" t="s">
        <v>56</v>
      </c>
    </row>
    <row r="10" spans="2:14" x14ac:dyDescent="0.3">
      <c r="K10" s="3" t="s">
        <v>28</v>
      </c>
      <c r="L10" s="3" t="s">
        <v>45</v>
      </c>
      <c r="M10" s="3" t="s">
        <v>57</v>
      </c>
      <c r="N10" s="3" t="s">
        <v>58</v>
      </c>
    </row>
    <row r="11" spans="2:14" x14ac:dyDescent="0.3">
      <c r="K11" s="3" t="s">
        <v>28</v>
      </c>
      <c r="L11" s="3" t="s">
        <v>26</v>
      </c>
      <c r="M11" s="3" t="s">
        <v>59</v>
      </c>
      <c r="N11" s="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A464-942E-40F5-B25E-2423E1EB5158}">
  <dimension ref="A1:K9"/>
  <sheetViews>
    <sheetView zoomScaleNormal="100" workbookViewId="0">
      <selection activeCell="M12" sqref="M12"/>
    </sheetView>
  </sheetViews>
  <sheetFormatPr defaultRowHeight="14.4" x14ac:dyDescent="0.3"/>
  <cols>
    <col min="2" max="2" width="10.44140625" customWidth="1"/>
    <col min="3" max="3" width="14.33203125" customWidth="1"/>
    <col min="4" max="4" width="17.21875" customWidth="1"/>
    <col min="5" max="5" width="16.6640625" customWidth="1"/>
    <col min="6" max="6" width="18.109375" customWidth="1"/>
    <col min="7" max="7" width="18.33203125" customWidth="1"/>
    <col min="8" max="8" width="21.6640625" customWidth="1"/>
    <col min="9" max="9" width="22.5546875" customWidth="1"/>
    <col min="10" max="10" width="16.88671875" customWidth="1"/>
    <col min="11" max="11" width="16.6640625" customWidth="1"/>
    <col min="14" max="15" width="8.88671875" customWidth="1"/>
  </cols>
  <sheetData>
    <row r="1" spans="1:11" x14ac:dyDescent="0.3">
      <c r="C1" s="47" t="s">
        <v>95</v>
      </c>
      <c r="D1" s="47"/>
      <c r="E1" s="47"/>
      <c r="F1" s="47"/>
      <c r="G1" s="47"/>
      <c r="H1" s="47"/>
      <c r="I1" s="47"/>
      <c r="J1" s="47"/>
      <c r="K1" s="47"/>
    </row>
    <row r="2" spans="1:11" x14ac:dyDescent="0.3">
      <c r="C2" s="47"/>
      <c r="D2" s="47"/>
      <c r="E2" s="47"/>
      <c r="F2" s="47"/>
      <c r="G2" s="47"/>
      <c r="H2" s="47"/>
      <c r="I2" s="47"/>
      <c r="J2" s="47"/>
      <c r="K2" s="47"/>
    </row>
    <row r="3" spans="1:11" x14ac:dyDescent="0.3">
      <c r="C3" s="48"/>
      <c r="D3" s="48"/>
      <c r="E3" s="48"/>
      <c r="F3" s="48"/>
      <c r="G3" s="48"/>
      <c r="H3" s="48"/>
      <c r="I3" s="48"/>
      <c r="J3" s="48"/>
      <c r="K3" s="48"/>
    </row>
    <row r="4" spans="1:11" x14ac:dyDescent="0.3">
      <c r="A4" s="46" t="s">
        <v>94</v>
      </c>
      <c r="B4" s="46" t="s">
        <v>93</v>
      </c>
      <c r="C4" s="46" t="s">
        <v>79</v>
      </c>
      <c r="D4" s="46" t="s">
        <v>80</v>
      </c>
      <c r="E4" s="46" t="s">
        <v>81</v>
      </c>
      <c r="F4" s="46" t="s">
        <v>82</v>
      </c>
      <c r="G4" s="46" t="s">
        <v>83</v>
      </c>
      <c r="H4" s="46" t="s">
        <v>84</v>
      </c>
      <c r="I4" s="46" t="s">
        <v>85</v>
      </c>
      <c r="J4" s="46" t="s">
        <v>86</v>
      </c>
      <c r="K4" s="46" t="s">
        <v>87</v>
      </c>
    </row>
    <row r="5" spans="1:11" x14ac:dyDescent="0.3">
      <c r="B5" s="46" t="s">
        <v>88</v>
      </c>
      <c r="C5" s="49"/>
      <c r="D5" s="49"/>
      <c r="E5" s="49"/>
      <c r="F5" s="49"/>
      <c r="G5" s="49"/>
      <c r="H5" s="49"/>
      <c r="I5" s="49"/>
      <c r="J5" s="49"/>
      <c r="K5" s="49"/>
    </row>
    <row r="6" spans="1:11" x14ac:dyDescent="0.3">
      <c r="B6" s="46" t="s">
        <v>89</v>
      </c>
      <c r="C6" s="49"/>
      <c r="D6" s="49"/>
      <c r="E6" s="49"/>
      <c r="F6" s="2"/>
      <c r="G6" s="2"/>
      <c r="H6" s="2"/>
      <c r="I6" s="2"/>
      <c r="J6" s="2"/>
      <c r="K6" s="2"/>
    </row>
    <row r="7" spans="1:11" x14ac:dyDescent="0.3">
      <c r="B7" s="46" t="s">
        <v>90</v>
      </c>
      <c r="C7" s="49"/>
      <c r="D7" s="49"/>
      <c r="E7" s="49"/>
      <c r="F7" s="2"/>
      <c r="G7" s="2"/>
      <c r="H7" s="2"/>
      <c r="I7" s="2"/>
      <c r="J7" s="2"/>
      <c r="K7" s="2"/>
    </row>
    <row r="8" spans="1:11" x14ac:dyDescent="0.3">
      <c r="B8" s="46" t="s">
        <v>91</v>
      </c>
      <c r="C8" s="49"/>
      <c r="D8" s="49"/>
      <c r="E8" s="49"/>
      <c r="F8" s="2"/>
      <c r="G8" s="2"/>
      <c r="H8" s="2"/>
      <c r="I8" s="2"/>
      <c r="J8" s="2"/>
      <c r="K8" s="2"/>
    </row>
    <row r="9" spans="1:11" x14ac:dyDescent="0.3">
      <c r="B9" s="46" t="s">
        <v>92</v>
      </c>
      <c r="C9" s="49"/>
      <c r="D9" s="49"/>
      <c r="E9" s="49"/>
      <c r="F9" s="2"/>
      <c r="G9" s="2"/>
      <c r="H9" s="2"/>
      <c r="I9" s="2"/>
      <c r="J9" s="2"/>
      <c r="K9" s="2"/>
    </row>
  </sheetData>
  <mergeCells count="1">
    <mergeCell ref="C1:K3"/>
  </mergeCells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6C30-5542-4F7E-91A9-B44FE5F9B40C}">
  <dimension ref="A1:X26"/>
  <sheetViews>
    <sheetView showGridLines="0" tabSelected="1" zoomScaleNormal="100" workbookViewId="0">
      <selection activeCell="S30" sqref="S30"/>
    </sheetView>
  </sheetViews>
  <sheetFormatPr defaultRowHeight="14.4" x14ac:dyDescent="0.3"/>
  <cols>
    <col min="1" max="1" width="15.109375" customWidth="1"/>
    <col min="6" max="6" width="10.88671875" customWidth="1"/>
    <col min="7" max="7" width="18.21875" customWidth="1"/>
    <col min="8" max="8" width="5.88671875" hidden="1" customWidth="1"/>
    <col min="9" max="9" width="16.33203125" customWidth="1"/>
    <col min="10" max="10" width="2.6640625" hidden="1" customWidth="1"/>
    <col min="11" max="11" width="12.33203125" customWidth="1"/>
    <col min="12" max="12" width="2.5546875" hidden="1" customWidth="1"/>
    <col min="13" max="13" width="16.77734375" customWidth="1"/>
    <col min="14" max="14" width="11" customWidth="1"/>
    <col min="16" max="16" width="13" customWidth="1"/>
    <col min="17" max="17" width="15.77734375" customWidth="1"/>
    <col min="18" max="18" width="13.33203125" customWidth="1"/>
    <col min="20" max="20" width="12.44140625" customWidth="1"/>
    <col min="25" max="25" width="14.6640625" bestFit="1" customWidth="1"/>
  </cols>
  <sheetData>
    <row r="1" spans="1:24" s="1" customFormat="1" ht="14.4" customHeight="1" x14ac:dyDescent="0.45">
      <c r="A1" s="11" t="s">
        <v>78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  <c r="U1" s="7"/>
      <c r="V1" s="7"/>
      <c r="W1" s="7"/>
      <c r="X1" s="8"/>
    </row>
    <row r="2" spans="1:24" s="1" customFormat="1" ht="14.4" customHeight="1" x14ac:dyDescent="0.4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6"/>
      <c r="U2" s="9"/>
      <c r="V2" s="9"/>
      <c r="W2" s="9"/>
      <c r="X2" s="10"/>
    </row>
    <row r="4" spans="1:24" x14ac:dyDescent="0.3">
      <c r="A4" s="17" t="s">
        <v>0</v>
      </c>
      <c r="B4" s="18" t="s">
        <v>1</v>
      </c>
      <c r="C4" s="18"/>
      <c r="D4" s="18"/>
      <c r="E4" s="18"/>
      <c r="F4" s="18"/>
      <c r="G4" s="17" t="s">
        <v>2</v>
      </c>
      <c r="H4" s="17" t="s">
        <v>74</v>
      </c>
      <c r="I4" s="17" t="s">
        <v>75</v>
      </c>
      <c r="J4" s="17" t="s">
        <v>4</v>
      </c>
      <c r="K4" s="17" t="s">
        <v>25</v>
      </c>
      <c r="L4" s="17" t="s">
        <v>5</v>
      </c>
      <c r="M4" s="54" t="s">
        <v>102</v>
      </c>
    </row>
    <row r="5" spans="1:24" x14ac:dyDescent="0.3">
      <c r="A5" s="2" t="s">
        <v>6</v>
      </c>
      <c r="B5" s="20" t="s">
        <v>96</v>
      </c>
      <c r="C5" s="20"/>
      <c r="D5" s="20"/>
      <c r="E5" s="20"/>
      <c r="F5" s="20"/>
      <c r="G5" s="2" t="s">
        <v>18</v>
      </c>
      <c r="H5" s="3" t="str">
        <f>IF($I5&gt;=8,"H",IF($I5&gt;=5,"M","L"))</f>
        <v>H</v>
      </c>
      <c r="I5" s="3">
        <v>9</v>
      </c>
      <c r="J5" s="3" t="str">
        <f>IF($K5&gt;=8,"H",IF($K5&gt;=5,"M","L"))</f>
        <v>M</v>
      </c>
      <c r="K5" s="3">
        <v>7</v>
      </c>
      <c r="L5" s="3" t="str">
        <f>_xlfn.CONCAT(H5,J5)</f>
        <v>HM</v>
      </c>
      <c r="M5" s="3" t="s">
        <v>103</v>
      </c>
      <c r="O5" s="22" t="s">
        <v>77</v>
      </c>
      <c r="P5" s="23"/>
      <c r="Q5" s="23"/>
      <c r="R5" s="24"/>
    </row>
    <row r="6" spans="1:24" x14ac:dyDescent="0.3">
      <c r="A6" s="2" t="s">
        <v>7</v>
      </c>
      <c r="B6" s="20" t="s">
        <v>97</v>
      </c>
      <c r="C6" s="20"/>
      <c r="D6" s="20"/>
      <c r="E6" s="20"/>
      <c r="F6" s="20"/>
      <c r="G6" s="2" t="s">
        <v>13</v>
      </c>
      <c r="H6" s="3" t="str">
        <f t="shared" ref="H6:H18" si="0">IF($I6&gt;=8,"H",IF($I6&gt;=5,"M","L"))</f>
        <v>M</v>
      </c>
      <c r="I6" s="3">
        <v>7</v>
      </c>
      <c r="J6" s="3" t="str">
        <f t="shared" ref="J6:J10" si="1">IF($K6&gt;=8,"H",IF($K6&gt;=5,"M","L"))</f>
        <v>L</v>
      </c>
      <c r="K6" s="3">
        <v>3</v>
      </c>
      <c r="L6" s="3" t="str">
        <f t="shared" ref="L6:L18" si="2">_xlfn.CONCAT(H6,J6)</f>
        <v>ML</v>
      </c>
      <c r="M6" s="3"/>
      <c r="O6" s="25"/>
      <c r="P6" s="26"/>
      <c r="Q6" s="26"/>
      <c r="R6" s="27"/>
    </row>
    <row r="7" spans="1:24" x14ac:dyDescent="0.3">
      <c r="A7" s="2" t="s">
        <v>8</v>
      </c>
      <c r="B7" s="20" t="s">
        <v>98</v>
      </c>
      <c r="C7" s="20"/>
      <c r="D7" s="20"/>
      <c r="E7" s="20"/>
      <c r="F7" s="20"/>
      <c r="G7" s="2" t="s">
        <v>35</v>
      </c>
      <c r="H7" s="3" t="str">
        <f t="shared" si="0"/>
        <v>M</v>
      </c>
      <c r="I7" s="3">
        <v>7</v>
      </c>
      <c r="J7" s="3" t="str">
        <f t="shared" si="1"/>
        <v>M</v>
      </c>
      <c r="K7" s="3">
        <v>7</v>
      </c>
      <c r="L7" s="3" t="str">
        <f t="shared" si="2"/>
        <v>MM</v>
      </c>
      <c r="M7" s="3"/>
      <c r="O7" s="52" t="s">
        <v>62</v>
      </c>
      <c r="P7" s="32">
        <f>C22/J22</f>
        <v>0.16666666666666666</v>
      </c>
      <c r="Q7" s="30">
        <f>B22/J22</f>
        <v>0.33333333333333331</v>
      </c>
      <c r="R7" s="28">
        <f>A22/J22</f>
        <v>0</v>
      </c>
    </row>
    <row r="8" spans="1:24" x14ac:dyDescent="0.3">
      <c r="A8" s="2" t="s">
        <v>9</v>
      </c>
      <c r="B8" s="20" t="s">
        <v>99</v>
      </c>
      <c r="C8" s="20"/>
      <c r="D8" s="20"/>
      <c r="E8" s="20"/>
      <c r="F8" s="20"/>
      <c r="G8" s="2" t="s">
        <v>16</v>
      </c>
      <c r="H8" s="3" t="str">
        <f t="shared" si="0"/>
        <v>H</v>
      </c>
      <c r="I8" s="3">
        <v>8</v>
      </c>
      <c r="J8" s="3" t="str">
        <f t="shared" si="1"/>
        <v>M</v>
      </c>
      <c r="K8" s="3">
        <v>7</v>
      </c>
      <c r="L8" s="3" t="str">
        <f t="shared" si="2"/>
        <v>HM</v>
      </c>
      <c r="M8" s="3"/>
      <c r="O8" s="52"/>
      <c r="P8" s="33"/>
      <c r="Q8" s="31"/>
      <c r="R8" s="29"/>
    </row>
    <row r="9" spans="1:24" x14ac:dyDescent="0.3">
      <c r="A9" s="2" t="s">
        <v>10</v>
      </c>
      <c r="B9" s="20" t="s">
        <v>100</v>
      </c>
      <c r="C9" s="20"/>
      <c r="D9" s="20"/>
      <c r="E9" s="20"/>
      <c r="F9" s="20"/>
      <c r="G9" s="2" t="s">
        <v>34</v>
      </c>
      <c r="H9" s="3" t="str">
        <f t="shared" si="0"/>
        <v>H</v>
      </c>
      <c r="I9" s="3">
        <v>9</v>
      </c>
      <c r="J9" s="3" t="str">
        <f t="shared" si="1"/>
        <v>H</v>
      </c>
      <c r="K9" s="3">
        <v>9</v>
      </c>
      <c r="L9" s="3" t="str">
        <f t="shared" si="2"/>
        <v>HH</v>
      </c>
      <c r="M9" s="3"/>
      <c r="O9" s="51" t="s">
        <v>63</v>
      </c>
      <c r="P9" s="34">
        <f>F22/J22</f>
        <v>0</v>
      </c>
      <c r="Q9" s="36">
        <f>E22/J22</f>
        <v>0.16666666666666666</v>
      </c>
      <c r="R9" s="30">
        <f>D22/J22</f>
        <v>0.16666666666666666</v>
      </c>
    </row>
    <row r="10" spans="1:24" x14ac:dyDescent="0.3">
      <c r="A10" s="2" t="s">
        <v>11</v>
      </c>
      <c r="B10" s="20" t="s">
        <v>101</v>
      </c>
      <c r="C10" s="20"/>
      <c r="D10" s="20"/>
      <c r="E10" s="20"/>
      <c r="F10" s="20"/>
      <c r="G10" s="2" t="s">
        <v>34</v>
      </c>
      <c r="H10" s="3" t="str">
        <f t="shared" si="0"/>
        <v>L</v>
      </c>
      <c r="I10" s="3">
        <v>2</v>
      </c>
      <c r="J10" s="3" t="str">
        <f t="shared" si="1"/>
        <v>L</v>
      </c>
      <c r="K10" s="3">
        <v>2</v>
      </c>
      <c r="L10" s="3" t="str">
        <f t="shared" si="2"/>
        <v>LL</v>
      </c>
      <c r="M10" s="3"/>
      <c r="O10" s="51"/>
      <c r="P10" s="35"/>
      <c r="Q10" s="37"/>
      <c r="R10" s="31"/>
    </row>
    <row r="11" spans="1:24" x14ac:dyDescent="0.3">
      <c r="A11" s="2" t="s">
        <v>12</v>
      </c>
      <c r="B11" s="20"/>
      <c r="C11" s="20"/>
      <c r="D11" s="20"/>
      <c r="E11" s="20"/>
      <c r="F11" s="20"/>
      <c r="G11" s="2"/>
      <c r="H11" s="3" t="str">
        <f t="shared" si="0"/>
        <v>L</v>
      </c>
      <c r="I11" s="3"/>
      <c r="J11" s="3"/>
      <c r="K11" s="3"/>
      <c r="L11" s="3" t="str">
        <f t="shared" si="2"/>
        <v>L</v>
      </c>
      <c r="M11" s="3"/>
      <c r="O11" s="50" t="s">
        <v>64</v>
      </c>
      <c r="P11" s="38">
        <f>I22/J22</f>
        <v>0</v>
      </c>
      <c r="Q11" s="40">
        <f>H22/J22</f>
        <v>0</v>
      </c>
      <c r="R11" s="42">
        <f>G22/J22</f>
        <v>0.16666666666666666</v>
      </c>
    </row>
    <row r="12" spans="1:24" x14ac:dyDescent="0.3">
      <c r="A12" s="2" t="s">
        <v>14</v>
      </c>
      <c r="B12" s="20"/>
      <c r="C12" s="20"/>
      <c r="D12" s="20"/>
      <c r="E12" s="20"/>
      <c r="F12" s="20"/>
      <c r="G12" s="2"/>
      <c r="H12" s="3" t="str">
        <f t="shared" si="0"/>
        <v>L</v>
      </c>
      <c r="I12" s="3"/>
      <c r="J12" s="3"/>
      <c r="K12" s="3"/>
      <c r="L12" s="3" t="str">
        <f t="shared" si="2"/>
        <v>L</v>
      </c>
      <c r="M12" s="3"/>
      <c r="O12" s="50"/>
      <c r="P12" s="39"/>
      <c r="Q12" s="41"/>
      <c r="R12" s="43"/>
    </row>
    <row r="13" spans="1:24" x14ac:dyDescent="0.3">
      <c r="A13" s="2" t="s">
        <v>15</v>
      </c>
      <c r="B13" s="20"/>
      <c r="C13" s="20"/>
      <c r="D13" s="20"/>
      <c r="E13" s="20"/>
      <c r="F13" s="20"/>
      <c r="G13" s="2"/>
      <c r="H13" s="3" t="str">
        <f t="shared" si="0"/>
        <v>L</v>
      </c>
      <c r="I13" s="3"/>
      <c r="J13" s="3"/>
      <c r="K13" s="3"/>
      <c r="L13" s="3" t="str">
        <f t="shared" si="2"/>
        <v>L</v>
      </c>
      <c r="M13" s="3"/>
      <c r="P13" s="53" t="s">
        <v>65</v>
      </c>
      <c r="Q13" s="51" t="s">
        <v>66</v>
      </c>
      <c r="R13" s="50" t="s">
        <v>67</v>
      </c>
    </row>
    <row r="14" spans="1:24" x14ac:dyDescent="0.3">
      <c r="A14" s="2" t="s">
        <v>17</v>
      </c>
      <c r="B14" s="20"/>
      <c r="C14" s="20"/>
      <c r="D14" s="20"/>
      <c r="E14" s="20"/>
      <c r="F14" s="20"/>
      <c r="G14" s="2"/>
      <c r="H14" s="3" t="str">
        <f t="shared" si="0"/>
        <v>L</v>
      </c>
      <c r="I14" s="3"/>
      <c r="J14" s="3"/>
      <c r="K14" s="3"/>
      <c r="L14" s="3" t="str">
        <f t="shared" si="2"/>
        <v>L</v>
      </c>
      <c r="M14" s="3"/>
      <c r="P14" s="53"/>
      <c r="Q14" s="51"/>
      <c r="R14" s="50"/>
    </row>
    <row r="15" spans="1:24" x14ac:dyDescent="0.3">
      <c r="A15" s="2" t="s">
        <v>19</v>
      </c>
      <c r="B15" s="20"/>
      <c r="C15" s="20"/>
      <c r="D15" s="20"/>
      <c r="E15" s="20"/>
      <c r="F15" s="20"/>
      <c r="G15" s="2"/>
      <c r="H15" s="3" t="str">
        <f t="shared" si="0"/>
        <v>L</v>
      </c>
      <c r="I15" s="3"/>
      <c r="J15" s="3"/>
      <c r="K15" s="3"/>
      <c r="L15" s="3" t="str">
        <f t="shared" si="2"/>
        <v>L</v>
      </c>
      <c r="M15" s="3"/>
      <c r="P15" s="53"/>
      <c r="Q15" s="51"/>
      <c r="R15" s="50"/>
    </row>
    <row r="16" spans="1:24" x14ac:dyDescent="0.3">
      <c r="A16" s="2" t="s">
        <v>20</v>
      </c>
      <c r="B16" s="20"/>
      <c r="C16" s="20"/>
      <c r="D16" s="20"/>
      <c r="E16" s="20"/>
      <c r="F16" s="20"/>
      <c r="G16" s="2"/>
      <c r="H16" s="3" t="str">
        <f t="shared" si="0"/>
        <v>L</v>
      </c>
      <c r="I16" s="3"/>
      <c r="J16" s="3"/>
      <c r="K16" s="3"/>
      <c r="L16" s="3" t="str">
        <f t="shared" si="2"/>
        <v>L</v>
      </c>
      <c r="M16" s="3"/>
    </row>
    <row r="17" spans="1:22" x14ac:dyDescent="0.3">
      <c r="A17" s="2" t="s">
        <v>6</v>
      </c>
      <c r="B17" s="20"/>
      <c r="C17" s="20"/>
      <c r="D17" s="20"/>
      <c r="E17" s="20"/>
      <c r="F17" s="20"/>
      <c r="G17" s="2"/>
      <c r="H17" s="3" t="str">
        <f t="shared" si="0"/>
        <v>L</v>
      </c>
      <c r="I17" s="3"/>
      <c r="J17" s="3"/>
      <c r="K17" s="3"/>
      <c r="L17" s="3" t="str">
        <f t="shared" si="2"/>
        <v>L</v>
      </c>
      <c r="M17" s="3"/>
      <c r="O17" s="17" t="s">
        <v>3</v>
      </c>
      <c r="P17" s="17" t="s">
        <v>4</v>
      </c>
      <c r="Q17" s="17" t="s">
        <v>76</v>
      </c>
      <c r="R17" s="45"/>
      <c r="S17" s="45"/>
      <c r="T17" s="45"/>
      <c r="U17" s="45"/>
      <c r="V17" s="45"/>
    </row>
    <row r="18" spans="1:22" x14ac:dyDescent="0.3">
      <c r="A18" s="2" t="s">
        <v>7</v>
      </c>
      <c r="B18" s="20"/>
      <c r="C18" s="20"/>
      <c r="D18" s="20"/>
      <c r="E18" s="20"/>
      <c r="F18" s="20"/>
      <c r="G18" s="2"/>
      <c r="H18" s="3" t="str">
        <f t="shared" si="0"/>
        <v>L</v>
      </c>
      <c r="I18" s="3"/>
      <c r="J18" s="3"/>
      <c r="K18" s="3"/>
      <c r="L18" s="3" t="str">
        <f t="shared" si="2"/>
        <v>L</v>
      </c>
      <c r="M18" s="3"/>
      <c r="O18" s="5" t="s">
        <v>26</v>
      </c>
      <c r="P18" s="5" t="s">
        <v>28</v>
      </c>
      <c r="Q18" s="44" t="s">
        <v>43</v>
      </c>
      <c r="R18" s="45"/>
      <c r="S18" s="45"/>
      <c r="T18" s="45"/>
      <c r="U18" s="45"/>
      <c r="V18" s="45"/>
    </row>
    <row r="19" spans="1:22" x14ac:dyDescent="0.3">
      <c r="O19" s="5" t="s">
        <v>26</v>
      </c>
      <c r="P19" s="5" t="s">
        <v>45</v>
      </c>
      <c r="Q19" s="5" t="s">
        <v>46</v>
      </c>
      <c r="R19" s="45"/>
      <c r="S19" s="45"/>
      <c r="T19" s="45"/>
      <c r="U19" s="45"/>
      <c r="V19" s="45"/>
    </row>
    <row r="20" spans="1:22" x14ac:dyDescent="0.3">
      <c r="O20" s="5" t="s">
        <v>26</v>
      </c>
      <c r="P20" s="5" t="s">
        <v>26</v>
      </c>
      <c r="Q20" s="5" t="s">
        <v>48</v>
      </c>
      <c r="R20" s="45"/>
      <c r="S20" s="45"/>
      <c r="T20" s="45"/>
      <c r="U20" s="45"/>
      <c r="V20" s="45"/>
    </row>
    <row r="21" spans="1:22" x14ac:dyDescent="0.3">
      <c r="A21" s="17" t="s">
        <v>21</v>
      </c>
      <c r="B21" s="17" t="s">
        <v>68</v>
      </c>
      <c r="C21" s="17" t="s">
        <v>22</v>
      </c>
      <c r="D21" s="17" t="s">
        <v>69</v>
      </c>
      <c r="E21" s="17" t="s">
        <v>70</v>
      </c>
      <c r="F21" s="17" t="s">
        <v>71</v>
      </c>
      <c r="G21" s="17" t="s">
        <v>24</v>
      </c>
      <c r="H21" s="17" t="s">
        <v>72</v>
      </c>
      <c r="I21" s="17" t="s">
        <v>23</v>
      </c>
      <c r="J21" s="17" t="s">
        <v>73</v>
      </c>
      <c r="O21" s="5" t="s">
        <v>45</v>
      </c>
      <c r="P21" s="5" t="s">
        <v>28</v>
      </c>
      <c r="Q21" s="5" t="s">
        <v>50</v>
      </c>
      <c r="R21" s="45"/>
      <c r="S21" s="45"/>
      <c r="T21" s="45"/>
      <c r="U21" s="45"/>
      <c r="V21" s="45"/>
    </row>
    <row r="22" spans="1:22" x14ac:dyDescent="0.3">
      <c r="A22" s="2">
        <f>COUNTIF($L$5:$L$18,A$21)</f>
        <v>0</v>
      </c>
      <c r="B22" s="2">
        <f>COUNTIF($L$5:$L$18,B$21)</f>
        <v>2</v>
      </c>
      <c r="C22" s="2">
        <f>COUNTIF($L$5:$L$18,C$21)</f>
        <v>1</v>
      </c>
      <c r="D22" s="2">
        <f>COUNTIF($L$5:$L$18,D$21)</f>
        <v>1</v>
      </c>
      <c r="E22" s="2">
        <f>COUNTIF($L$5:$L$18,E$21)</f>
        <v>1</v>
      </c>
      <c r="F22" s="2">
        <f>COUNTIF($L$5:$L$18,F$21)</f>
        <v>0</v>
      </c>
      <c r="G22" s="2">
        <f>COUNTIF($L$5:$L$18,G$21)</f>
        <v>1</v>
      </c>
      <c r="H22" s="2">
        <f>COUNTIF($L$5:$L$18,H$21)</f>
        <v>0</v>
      </c>
      <c r="I22" s="2">
        <f>COUNTIF($L$5:$L$18,I$21)</f>
        <v>0</v>
      </c>
      <c r="J22" s="21">
        <f>SUM(A22:I22)</f>
        <v>6</v>
      </c>
      <c r="O22" s="5" t="s">
        <v>45</v>
      </c>
      <c r="P22" s="5" t="s">
        <v>45</v>
      </c>
      <c r="Q22" s="5" t="s">
        <v>51</v>
      </c>
      <c r="R22" s="45"/>
      <c r="S22" s="45"/>
      <c r="T22" s="45"/>
      <c r="U22" s="45"/>
      <c r="V22" s="45"/>
    </row>
    <row r="23" spans="1:22" x14ac:dyDescent="0.3">
      <c r="O23" s="5" t="s">
        <v>45</v>
      </c>
      <c r="P23" s="5" t="s">
        <v>26</v>
      </c>
      <c r="Q23" s="5" t="s">
        <v>53</v>
      </c>
      <c r="R23" s="45"/>
      <c r="S23" s="45"/>
      <c r="T23" s="45"/>
      <c r="U23" s="45"/>
      <c r="V23" s="45"/>
    </row>
    <row r="24" spans="1:22" x14ac:dyDescent="0.3">
      <c r="O24" s="5" t="s">
        <v>28</v>
      </c>
      <c r="P24" s="5" t="s">
        <v>28</v>
      </c>
      <c r="Q24" s="5" t="s">
        <v>55</v>
      </c>
      <c r="R24" s="45"/>
      <c r="S24" s="45"/>
      <c r="T24" s="45"/>
      <c r="U24" s="45"/>
      <c r="V24" s="45"/>
    </row>
    <row r="25" spans="1:22" x14ac:dyDescent="0.3">
      <c r="O25" s="5" t="s">
        <v>28</v>
      </c>
      <c r="P25" s="5" t="s">
        <v>45</v>
      </c>
      <c r="Q25" s="5" t="s">
        <v>57</v>
      </c>
      <c r="R25" s="45"/>
      <c r="S25" s="45"/>
      <c r="T25" s="45"/>
      <c r="U25" s="45"/>
      <c r="V25" s="45"/>
    </row>
    <row r="26" spans="1:22" x14ac:dyDescent="0.3">
      <c r="O26" s="5" t="s">
        <v>28</v>
      </c>
      <c r="P26" s="5" t="s">
        <v>26</v>
      </c>
      <c r="Q26" s="5" t="s">
        <v>59</v>
      </c>
      <c r="R26" s="45"/>
      <c r="S26" s="45"/>
      <c r="T26" s="45"/>
      <c r="U26" s="45"/>
      <c r="V26" s="45"/>
    </row>
  </sheetData>
  <mergeCells count="32">
    <mergeCell ref="B16:F16"/>
    <mergeCell ref="B17:F17"/>
    <mergeCell ref="B18:F18"/>
    <mergeCell ref="B13:F13"/>
    <mergeCell ref="P13:P15"/>
    <mergeCell ref="Q13:Q15"/>
    <mergeCell ref="R13:R15"/>
    <mergeCell ref="B14:F14"/>
    <mergeCell ref="B15:F15"/>
    <mergeCell ref="B11:F11"/>
    <mergeCell ref="O11:O12"/>
    <mergeCell ref="P11:P12"/>
    <mergeCell ref="Q11:Q12"/>
    <mergeCell ref="R11:R12"/>
    <mergeCell ref="B12:F12"/>
    <mergeCell ref="B8:F8"/>
    <mergeCell ref="B9:F9"/>
    <mergeCell ref="O9:O10"/>
    <mergeCell ref="P9:P10"/>
    <mergeCell ref="Q9:Q10"/>
    <mergeCell ref="R9:R10"/>
    <mergeCell ref="B10:F10"/>
    <mergeCell ref="A1:T2"/>
    <mergeCell ref="B4:F4"/>
    <mergeCell ref="B5:F5"/>
    <mergeCell ref="O5:R6"/>
    <mergeCell ref="B6:F6"/>
    <mergeCell ref="B7:F7"/>
    <mergeCell ref="O7:O8"/>
    <mergeCell ref="P7:P8"/>
    <mergeCell ref="Q7:Q8"/>
    <mergeCell ref="R7:R8"/>
  </mergeCells>
  <conditionalFormatting sqref="A5:M18">
    <cfRule type="expression" dxfId="4" priority="1" stopIfTrue="1">
      <formula>"IF(AND($I$5&lt;5,$K$5&lt;5))"</formula>
    </cfRule>
  </conditionalFormatting>
  <dataValidations disablePrompts="1" count="1">
    <dataValidation type="list" allowBlank="1" showInputMessage="1" showErrorMessage="1" promptTitle="Input" prompt="Hello,_x000a_Please mention8, 9,10 for High value/Effort. _x000a_5 to 7 for Medium Value/Effort_x000a_Below 5 for Low Value/Effort. _x000a__x000a_Thanks," sqref="I5:K18" xr:uid="{FB9ED50D-30C6-42E6-BB8D-A3354FC42B2C}">
      <formula1>"1,2,3,4,5,6,7,8,9,10"</formula1>
    </dataValidation>
  </dataValidations>
  <pageMargins left="0.7" right="0.7" top="0.75" bottom="0.75" header="0.3" footer="0.3"/>
  <pageSetup orientation="portrait" r:id="rId1"/>
  <headerFooter scaleWithDoc="0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errorStyle="warning" allowBlank="1" showInputMessage="1" showErrorMessage="1" promptTitle="Category" prompt="Hi,_x000a_Mention about value which can be achieved with activity._x000a__x000a_Thanks,_x000a_" xr:uid="{C3FD6D94-F6F2-4212-9737-BA12C4EC7BF0}">
          <x14:formula1>
            <xm:f>'Rough Sheet'!$E$3:$E$7</xm:f>
          </x14:formula1>
          <xm:sqref>G5:G18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BEAB-9762-4E6B-9AC8-A52EDBAD383D}">
  <dimension ref="A1:X26"/>
  <sheetViews>
    <sheetView showGridLines="0" workbookViewId="0">
      <selection activeCell="G25" sqref="G25"/>
    </sheetView>
  </sheetViews>
  <sheetFormatPr defaultRowHeight="14.4" x14ac:dyDescent="0.3"/>
  <cols>
    <col min="1" max="1" width="15.109375" customWidth="1"/>
    <col min="6" max="6" width="10.88671875" customWidth="1"/>
    <col min="7" max="7" width="18.21875" customWidth="1"/>
    <col min="8" max="8" width="5.88671875" hidden="1" customWidth="1"/>
    <col min="9" max="9" width="16.33203125" customWidth="1"/>
    <col min="10" max="10" width="2.6640625" hidden="1" customWidth="1"/>
    <col min="11" max="11" width="12.33203125" customWidth="1"/>
    <col min="12" max="12" width="2.5546875" hidden="1" customWidth="1"/>
    <col min="13" max="13" width="16.77734375" customWidth="1"/>
    <col min="14" max="14" width="11" customWidth="1"/>
    <col min="16" max="16" width="13" customWidth="1"/>
    <col min="17" max="17" width="15.77734375" customWidth="1"/>
    <col min="18" max="18" width="13.33203125" customWidth="1"/>
    <col min="20" max="20" width="12.44140625" customWidth="1"/>
    <col min="25" max="25" width="14.6640625" bestFit="1" customWidth="1"/>
  </cols>
  <sheetData>
    <row r="1" spans="1:24" s="1" customFormat="1" ht="14.4" customHeight="1" x14ac:dyDescent="0.45">
      <c r="A1" s="11" t="s">
        <v>78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  <c r="U1" s="7"/>
      <c r="V1" s="7"/>
      <c r="W1" s="7"/>
      <c r="X1" s="8"/>
    </row>
    <row r="2" spans="1:24" s="1" customFormat="1" ht="14.4" customHeight="1" x14ac:dyDescent="0.4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6"/>
      <c r="U2" s="9"/>
      <c r="V2" s="9"/>
      <c r="W2" s="9"/>
      <c r="X2" s="10"/>
    </row>
    <row r="4" spans="1:24" x14ac:dyDescent="0.3">
      <c r="A4" s="17" t="s">
        <v>0</v>
      </c>
      <c r="B4" s="18" t="s">
        <v>1</v>
      </c>
      <c r="C4" s="18"/>
      <c r="D4" s="18"/>
      <c r="E4" s="18"/>
      <c r="F4" s="18"/>
      <c r="G4" s="17" t="s">
        <v>2</v>
      </c>
      <c r="H4" s="17" t="s">
        <v>74</v>
      </c>
      <c r="I4" s="17" t="s">
        <v>75</v>
      </c>
      <c r="J4" s="17" t="s">
        <v>4</v>
      </c>
      <c r="K4" s="17" t="s">
        <v>25</v>
      </c>
      <c r="L4" s="17" t="s">
        <v>5</v>
      </c>
      <c r="M4" s="54" t="s">
        <v>102</v>
      </c>
    </row>
    <row r="5" spans="1:24" x14ac:dyDescent="0.3">
      <c r="A5" s="2" t="s">
        <v>6</v>
      </c>
      <c r="B5" s="20" t="s">
        <v>96</v>
      </c>
      <c r="C5" s="20"/>
      <c r="D5" s="20"/>
      <c r="E5" s="20"/>
      <c r="F5" s="20"/>
      <c r="G5" s="2" t="s">
        <v>18</v>
      </c>
      <c r="H5" s="3" t="str">
        <f>IF($I5&gt;=8,"H",IF($I5&gt;=5,"M","L"))</f>
        <v>H</v>
      </c>
      <c r="I5" s="3">
        <v>9</v>
      </c>
      <c r="J5" s="3" t="str">
        <f>IF($K5&gt;=8,"H",IF($K5&gt;=5,"M","L"))</f>
        <v>M</v>
      </c>
      <c r="K5" s="3">
        <v>7</v>
      </c>
      <c r="L5" s="3" t="str">
        <f>_xlfn.CONCAT(H5,J5)</f>
        <v>HM</v>
      </c>
      <c r="M5" s="3" t="s">
        <v>103</v>
      </c>
      <c r="O5" s="22" t="s">
        <v>77</v>
      </c>
      <c r="P5" s="23"/>
      <c r="Q5" s="23"/>
      <c r="R5" s="24"/>
    </row>
    <row r="6" spans="1:24" x14ac:dyDescent="0.3">
      <c r="A6" s="2" t="s">
        <v>7</v>
      </c>
      <c r="B6" s="20" t="s">
        <v>97</v>
      </c>
      <c r="C6" s="20"/>
      <c r="D6" s="20"/>
      <c r="E6" s="20"/>
      <c r="F6" s="20"/>
      <c r="G6" s="2" t="s">
        <v>13</v>
      </c>
      <c r="H6" s="3" t="str">
        <f t="shared" ref="H6:H18" si="0">IF($I6&gt;=8,"H",IF($I6&gt;=5,"M","L"))</f>
        <v>M</v>
      </c>
      <c r="I6" s="3">
        <v>7</v>
      </c>
      <c r="J6" s="3" t="str">
        <f t="shared" ref="J6:J10" si="1">IF($K6&gt;=8,"H",IF($K6&gt;=5,"M","L"))</f>
        <v>L</v>
      </c>
      <c r="K6" s="3">
        <v>3</v>
      </c>
      <c r="L6" s="3" t="str">
        <f t="shared" ref="L6:L18" si="2">_xlfn.CONCAT(H6,J6)</f>
        <v>ML</v>
      </c>
      <c r="M6" s="3"/>
      <c r="O6" s="25"/>
      <c r="P6" s="26"/>
      <c r="Q6" s="26"/>
      <c r="R6" s="27"/>
    </row>
    <row r="7" spans="1:24" x14ac:dyDescent="0.3">
      <c r="A7" s="2" t="s">
        <v>8</v>
      </c>
      <c r="B7" s="20" t="s">
        <v>98</v>
      </c>
      <c r="C7" s="20"/>
      <c r="D7" s="20"/>
      <c r="E7" s="20"/>
      <c r="F7" s="20"/>
      <c r="G7" s="2" t="s">
        <v>35</v>
      </c>
      <c r="H7" s="3" t="str">
        <f t="shared" si="0"/>
        <v>M</v>
      </c>
      <c r="I7" s="3">
        <v>7</v>
      </c>
      <c r="J7" s="3" t="str">
        <f t="shared" si="1"/>
        <v>M</v>
      </c>
      <c r="K7" s="3">
        <v>7</v>
      </c>
      <c r="L7" s="3" t="str">
        <f t="shared" si="2"/>
        <v>MM</v>
      </c>
      <c r="M7" s="3"/>
      <c r="O7" s="52" t="s">
        <v>62</v>
      </c>
      <c r="P7" s="32">
        <f>C22/J22</f>
        <v>0.16666666666666666</v>
      </c>
      <c r="Q7" s="30">
        <f>B22/J22</f>
        <v>0.33333333333333331</v>
      </c>
      <c r="R7" s="28">
        <f>A22/J22</f>
        <v>0</v>
      </c>
    </row>
    <row r="8" spans="1:24" x14ac:dyDescent="0.3">
      <c r="A8" s="2" t="s">
        <v>9</v>
      </c>
      <c r="B8" s="20" t="s">
        <v>99</v>
      </c>
      <c r="C8" s="20"/>
      <c r="D8" s="20"/>
      <c r="E8" s="20"/>
      <c r="F8" s="20"/>
      <c r="G8" s="2" t="s">
        <v>16</v>
      </c>
      <c r="H8" s="3" t="str">
        <f t="shared" si="0"/>
        <v>H</v>
      </c>
      <c r="I8" s="3">
        <v>8</v>
      </c>
      <c r="J8" s="3" t="str">
        <f t="shared" si="1"/>
        <v>M</v>
      </c>
      <c r="K8" s="3">
        <v>7</v>
      </c>
      <c r="L8" s="3" t="str">
        <f t="shared" si="2"/>
        <v>HM</v>
      </c>
      <c r="M8" s="3"/>
      <c r="O8" s="52"/>
      <c r="P8" s="33"/>
      <c r="Q8" s="31"/>
      <c r="R8" s="29"/>
    </row>
    <row r="9" spans="1:24" x14ac:dyDescent="0.3">
      <c r="A9" s="2" t="s">
        <v>10</v>
      </c>
      <c r="B9" s="20" t="s">
        <v>100</v>
      </c>
      <c r="C9" s="20"/>
      <c r="D9" s="20"/>
      <c r="E9" s="20"/>
      <c r="F9" s="20"/>
      <c r="G9" s="2" t="s">
        <v>34</v>
      </c>
      <c r="H9" s="3" t="str">
        <f t="shared" si="0"/>
        <v>H</v>
      </c>
      <c r="I9" s="3">
        <v>9</v>
      </c>
      <c r="J9" s="3" t="str">
        <f t="shared" si="1"/>
        <v>H</v>
      </c>
      <c r="K9" s="3">
        <v>9</v>
      </c>
      <c r="L9" s="3" t="str">
        <f t="shared" si="2"/>
        <v>HH</v>
      </c>
      <c r="M9" s="3"/>
      <c r="O9" s="51" t="s">
        <v>63</v>
      </c>
      <c r="P9" s="34">
        <f>F22/J22</f>
        <v>0</v>
      </c>
      <c r="Q9" s="36">
        <f>E22/J22</f>
        <v>0.16666666666666666</v>
      </c>
      <c r="R9" s="30">
        <f>D22/J22</f>
        <v>0.16666666666666666</v>
      </c>
    </row>
    <row r="10" spans="1:24" x14ac:dyDescent="0.3">
      <c r="A10" s="2" t="s">
        <v>11</v>
      </c>
      <c r="B10" s="20" t="s">
        <v>101</v>
      </c>
      <c r="C10" s="20"/>
      <c r="D10" s="20"/>
      <c r="E10" s="20"/>
      <c r="F10" s="20"/>
      <c r="G10" s="2" t="s">
        <v>34</v>
      </c>
      <c r="H10" s="3" t="str">
        <f t="shared" si="0"/>
        <v>L</v>
      </c>
      <c r="I10" s="3">
        <v>2</v>
      </c>
      <c r="J10" s="3" t="str">
        <f t="shared" si="1"/>
        <v>L</v>
      </c>
      <c r="K10" s="3">
        <v>2</v>
      </c>
      <c r="L10" s="3" t="str">
        <f t="shared" si="2"/>
        <v>LL</v>
      </c>
      <c r="M10" s="3"/>
      <c r="O10" s="51"/>
      <c r="P10" s="35"/>
      <c r="Q10" s="37"/>
      <c r="R10" s="31"/>
    </row>
    <row r="11" spans="1:24" x14ac:dyDescent="0.3">
      <c r="A11" s="2" t="s">
        <v>12</v>
      </c>
      <c r="B11" s="20"/>
      <c r="C11" s="20"/>
      <c r="D11" s="20"/>
      <c r="E11" s="20"/>
      <c r="F11" s="20"/>
      <c r="G11" s="2"/>
      <c r="H11" s="3" t="str">
        <f t="shared" si="0"/>
        <v>L</v>
      </c>
      <c r="I11" s="3"/>
      <c r="J11" s="3"/>
      <c r="K11" s="3"/>
      <c r="L11" s="3" t="str">
        <f t="shared" si="2"/>
        <v>L</v>
      </c>
      <c r="M11" s="3"/>
      <c r="O11" s="50" t="s">
        <v>64</v>
      </c>
      <c r="P11" s="38">
        <f>I22/J22</f>
        <v>0</v>
      </c>
      <c r="Q11" s="40">
        <f>H22/J22</f>
        <v>0</v>
      </c>
      <c r="R11" s="42">
        <f>G22/J22</f>
        <v>0.16666666666666666</v>
      </c>
    </row>
    <row r="12" spans="1:24" x14ac:dyDescent="0.3">
      <c r="A12" s="2" t="s">
        <v>14</v>
      </c>
      <c r="B12" s="20"/>
      <c r="C12" s="20"/>
      <c r="D12" s="20"/>
      <c r="E12" s="20"/>
      <c r="F12" s="20"/>
      <c r="G12" s="2"/>
      <c r="H12" s="3" t="str">
        <f t="shared" si="0"/>
        <v>L</v>
      </c>
      <c r="I12" s="3"/>
      <c r="J12" s="3"/>
      <c r="K12" s="3"/>
      <c r="L12" s="3" t="str">
        <f t="shared" si="2"/>
        <v>L</v>
      </c>
      <c r="M12" s="3"/>
      <c r="O12" s="50"/>
      <c r="P12" s="39"/>
      <c r="Q12" s="41"/>
      <c r="R12" s="43"/>
    </row>
    <row r="13" spans="1:24" x14ac:dyDescent="0.3">
      <c r="A13" s="2" t="s">
        <v>15</v>
      </c>
      <c r="B13" s="20"/>
      <c r="C13" s="20"/>
      <c r="D13" s="20"/>
      <c r="E13" s="20"/>
      <c r="F13" s="20"/>
      <c r="G13" s="2"/>
      <c r="H13" s="3" t="str">
        <f t="shared" si="0"/>
        <v>L</v>
      </c>
      <c r="I13" s="3"/>
      <c r="J13" s="3"/>
      <c r="K13" s="3"/>
      <c r="L13" s="3" t="str">
        <f t="shared" si="2"/>
        <v>L</v>
      </c>
      <c r="M13" s="3"/>
      <c r="P13" s="53" t="s">
        <v>65</v>
      </c>
      <c r="Q13" s="51" t="s">
        <v>66</v>
      </c>
      <c r="R13" s="50" t="s">
        <v>67</v>
      </c>
    </row>
    <row r="14" spans="1:24" x14ac:dyDescent="0.3">
      <c r="A14" s="2" t="s">
        <v>17</v>
      </c>
      <c r="B14" s="20"/>
      <c r="C14" s="20"/>
      <c r="D14" s="20"/>
      <c r="E14" s="20"/>
      <c r="F14" s="20"/>
      <c r="G14" s="2"/>
      <c r="H14" s="3" t="str">
        <f t="shared" si="0"/>
        <v>L</v>
      </c>
      <c r="I14" s="3"/>
      <c r="J14" s="3"/>
      <c r="K14" s="3"/>
      <c r="L14" s="3" t="str">
        <f t="shared" si="2"/>
        <v>L</v>
      </c>
      <c r="M14" s="3"/>
      <c r="P14" s="53"/>
      <c r="Q14" s="51"/>
      <c r="R14" s="50"/>
    </row>
    <row r="15" spans="1:24" x14ac:dyDescent="0.3">
      <c r="A15" s="2" t="s">
        <v>19</v>
      </c>
      <c r="B15" s="20"/>
      <c r="C15" s="20"/>
      <c r="D15" s="20"/>
      <c r="E15" s="20"/>
      <c r="F15" s="20"/>
      <c r="G15" s="2"/>
      <c r="H15" s="3" t="str">
        <f t="shared" si="0"/>
        <v>L</v>
      </c>
      <c r="I15" s="3"/>
      <c r="J15" s="3"/>
      <c r="K15" s="3"/>
      <c r="L15" s="3" t="str">
        <f t="shared" si="2"/>
        <v>L</v>
      </c>
      <c r="M15" s="3"/>
      <c r="P15" s="53"/>
      <c r="Q15" s="51"/>
      <c r="R15" s="50"/>
    </row>
    <row r="16" spans="1:24" x14ac:dyDescent="0.3">
      <c r="A16" s="2" t="s">
        <v>20</v>
      </c>
      <c r="B16" s="20"/>
      <c r="C16" s="20"/>
      <c r="D16" s="20"/>
      <c r="E16" s="20"/>
      <c r="F16" s="20"/>
      <c r="G16" s="2"/>
      <c r="H16" s="3" t="str">
        <f t="shared" si="0"/>
        <v>L</v>
      </c>
      <c r="I16" s="3"/>
      <c r="J16" s="3"/>
      <c r="K16" s="3"/>
      <c r="L16" s="3" t="str">
        <f t="shared" si="2"/>
        <v>L</v>
      </c>
      <c r="M16" s="3"/>
    </row>
    <row r="17" spans="1:22" x14ac:dyDescent="0.3">
      <c r="A17" s="2" t="s">
        <v>6</v>
      </c>
      <c r="B17" s="20"/>
      <c r="C17" s="20"/>
      <c r="D17" s="20"/>
      <c r="E17" s="20"/>
      <c r="F17" s="20"/>
      <c r="G17" s="2"/>
      <c r="H17" s="3" t="str">
        <f t="shared" si="0"/>
        <v>L</v>
      </c>
      <c r="I17" s="3"/>
      <c r="J17" s="3"/>
      <c r="K17" s="3"/>
      <c r="L17" s="3" t="str">
        <f t="shared" si="2"/>
        <v>L</v>
      </c>
      <c r="M17" s="3"/>
      <c r="O17" s="17" t="s">
        <v>3</v>
      </c>
      <c r="P17" s="17" t="s">
        <v>4</v>
      </c>
      <c r="Q17" s="17" t="s">
        <v>76</v>
      </c>
      <c r="R17" s="45"/>
      <c r="S17" s="45"/>
      <c r="T17" s="45"/>
      <c r="U17" s="45"/>
      <c r="V17" s="45"/>
    </row>
    <row r="18" spans="1:22" x14ac:dyDescent="0.3">
      <c r="A18" s="2" t="s">
        <v>7</v>
      </c>
      <c r="B18" s="20"/>
      <c r="C18" s="20"/>
      <c r="D18" s="20"/>
      <c r="E18" s="20"/>
      <c r="F18" s="20"/>
      <c r="G18" s="2"/>
      <c r="H18" s="3" t="str">
        <f t="shared" si="0"/>
        <v>L</v>
      </c>
      <c r="I18" s="3"/>
      <c r="J18" s="3"/>
      <c r="K18" s="3"/>
      <c r="L18" s="3" t="str">
        <f t="shared" si="2"/>
        <v>L</v>
      </c>
      <c r="M18" s="3"/>
      <c r="O18" s="5" t="s">
        <v>26</v>
      </c>
      <c r="P18" s="5" t="s">
        <v>28</v>
      </c>
      <c r="Q18" s="44" t="s">
        <v>43</v>
      </c>
      <c r="R18" s="45"/>
      <c r="S18" s="45"/>
      <c r="T18" s="45"/>
      <c r="U18" s="45"/>
      <c r="V18" s="45"/>
    </row>
    <row r="19" spans="1:22" x14ac:dyDescent="0.3">
      <c r="O19" s="5" t="s">
        <v>26</v>
      </c>
      <c r="P19" s="5" t="s">
        <v>45</v>
      </c>
      <c r="Q19" s="5" t="s">
        <v>46</v>
      </c>
      <c r="R19" s="45"/>
      <c r="S19" s="45"/>
      <c r="T19" s="45"/>
      <c r="U19" s="45"/>
      <c r="V19" s="45"/>
    </row>
    <row r="20" spans="1:22" x14ac:dyDescent="0.3">
      <c r="O20" s="5" t="s">
        <v>26</v>
      </c>
      <c r="P20" s="5" t="s">
        <v>26</v>
      </c>
      <c r="Q20" s="5" t="s">
        <v>48</v>
      </c>
      <c r="R20" s="45"/>
      <c r="S20" s="45"/>
      <c r="T20" s="45"/>
      <c r="U20" s="45"/>
      <c r="V20" s="45"/>
    </row>
    <row r="21" spans="1:22" x14ac:dyDescent="0.3">
      <c r="A21" s="17" t="s">
        <v>21</v>
      </c>
      <c r="B21" s="17" t="s">
        <v>68</v>
      </c>
      <c r="C21" s="17" t="s">
        <v>22</v>
      </c>
      <c r="D21" s="17" t="s">
        <v>69</v>
      </c>
      <c r="E21" s="17" t="s">
        <v>70</v>
      </c>
      <c r="F21" s="17" t="s">
        <v>71</v>
      </c>
      <c r="G21" s="17" t="s">
        <v>24</v>
      </c>
      <c r="H21" s="17" t="s">
        <v>72</v>
      </c>
      <c r="I21" s="17" t="s">
        <v>23</v>
      </c>
      <c r="J21" s="17" t="s">
        <v>73</v>
      </c>
      <c r="O21" s="5" t="s">
        <v>45</v>
      </c>
      <c r="P21" s="5" t="s">
        <v>28</v>
      </c>
      <c r="Q21" s="5" t="s">
        <v>50</v>
      </c>
      <c r="R21" s="45"/>
      <c r="S21" s="45"/>
      <c r="T21" s="45"/>
      <c r="U21" s="45"/>
      <c r="V21" s="45"/>
    </row>
    <row r="22" spans="1:22" x14ac:dyDescent="0.3">
      <c r="A22" s="2">
        <f>COUNTIF($L$5:$L$18,A$21)</f>
        <v>0</v>
      </c>
      <c r="B22" s="2">
        <f>COUNTIF($L$5:$L$18,B$21)</f>
        <v>2</v>
      </c>
      <c r="C22" s="2">
        <f>COUNTIF($L$5:$L$18,C$21)</f>
        <v>1</v>
      </c>
      <c r="D22" s="2">
        <f>COUNTIF($L$5:$L$18,D$21)</f>
        <v>1</v>
      </c>
      <c r="E22" s="2">
        <f>COUNTIF($L$5:$L$18,E$21)</f>
        <v>1</v>
      </c>
      <c r="F22" s="2">
        <f>COUNTIF($L$5:$L$18,F$21)</f>
        <v>0</v>
      </c>
      <c r="G22" s="2">
        <f>COUNTIF($L$5:$L$18,G$21)</f>
        <v>1</v>
      </c>
      <c r="H22" s="2">
        <f>COUNTIF($L$5:$L$18,H$21)</f>
        <v>0</v>
      </c>
      <c r="I22" s="2">
        <f>COUNTIF($L$5:$L$18,I$21)</f>
        <v>0</v>
      </c>
      <c r="J22" s="21">
        <f>SUM(A22:I22)</f>
        <v>6</v>
      </c>
      <c r="O22" s="5" t="s">
        <v>45</v>
      </c>
      <c r="P22" s="5" t="s">
        <v>45</v>
      </c>
      <c r="Q22" s="5" t="s">
        <v>51</v>
      </c>
      <c r="R22" s="45"/>
      <c r="S22" s="45"/>
      <c r="T22" s="45"/>
      <c r="U22" s="45"/>
      <c r="V22" s="45"/>
    </row>
    <row r="23" spans="1:22" x14ac:dyDescent="0.3">
      <c r="O23" s="5" t="s">
        <v>45</v>
      </c>
      <c r="P23" s="5" t="s">
        <v>26</v>
      </c>
      <c r="Q23" s="5" t="s">
        <v>53</v>
      </c>
      <c r="R23" s="45"/>
      <c r="S23" s="45"/>
      <c r="T23" s="45"/>
      <c r="U23" s="45"/>
      <c r="V23" s="45"/>
    </row>
    <row r="24" spans="1:22" x14ac:dyDescent="0.3">
      <c r="O24" s="5" t="s">
        <v>28</v>
      </c>
      <c r="P24" s="5" t="s">
        <v>28</v>
      </c>
      <c r="Q24" s="5" t="s">
        <v>55</v>
      </c>
      <c r="R24" s="45"/>
      <c r="S24" s="45"/>
      <c r="T24" s="45"/>
      <c r="U24" s="45"/>
      <c r="V24" s="45"/>
    </row>
    <row r="25" spans="1:22" x14ac:dyDescent="0.3">
      <c r="O25" s="5" t="s">
        <v>28</v>
      </c>
      <c r="P25" s="5" t="s">
        <v>45</v>
      </c>
      <c r="Q25" s="5" t="s">
        <v>57</v>
      </c>
      <c r="R25" s="45"/>
      <c r="S25" s="45"/>
      <c r="T25" s="45"/>
      <c r="U25" s="45"/>
      <c r="V25" s="45"/>
    </row>
    <row r="26" spans="1:22" x14ac:dyDescent="0.3">
      <c r="O26" s="5" t="s">
        <v>28</v>
      </c>
      <c r="P26" s="5" t="s">
        <v>26</v>
      </c>
      <c r="Q26" s="5" t="s">
        <v>59</v>
      </c>
      <c r="R26" s="45"/>
      <c r="S26" s="45"/>
      <c r="T26" s="45"/>
      <c r="U26" s="45"/>
      <c r="V26" s="45"/>
    </row>
  </sheetData>
  <mergeCells count="32">
    <mergeCell ref="B16:F16"/>
    <mergeCell ref="B17:F17"/>
    <mergeCell ref="B18:F18"/>
    <mergeCell ref="B13:F13"/>
    <mergeCell ref="P13:P15"/>
    <mergeCell ref="Q13:Q15"/>
    <mergeCell ref="R13:R15"/>
    <mergeCell ref="B14:F14"/>
    <mergeCell ref="B15:F15"/>
    <mergeCell ref="B11:F11"/>
    <mergeCell ref="O11:O12"/>
    <mergeCell ref="P11:P12"/>
    <mergeCell ref="Q11:Q12"/>
    <mergeCell ref="R11:R12"/>
    <mergeCell ref="B12:F12"/>
    <mergeCell ref="B8:F8"/>
    <mergeCell ref="B9:F9"/>
    <mergeCell ref="O9:O10"/>
    <mergeCell ref="P9:P10"/>
    <mergeCell ref="Q9:Q10"/>
    <mergeCell ref="R9:R10"/>
    <mergeCell ref="B10:F10"/>
    <mergeCell ref="A1:T2"/>
    <mergeCell ref="B4:F4"/>
    <mergeCell ref="B5:F5"/>
    <mergeCell ref="O5:R6"/>
    <mergeCell ref="B6:F6"/>
    <mergeCell ref="B7:F7"/>
    <mergeCell ref="O7:O8"/>
    <mergeCell ref="P7:P8"/>
    <mergeCell ref="Q7:Q8"/>
    <mergeCell ref="R7:R8"/>
  </mergeCells>
  <conditionalFormatting sqref="A5:M18">
    <cfRule type="expression" dxfId="3" priority="1" stopIfTrue="1">
      <formula>"IF(AND($I$5&lt;5,$K$5&lt;5))"</formula>
    </cfRule>
  </conditionalFormatting>
  <dataValidations count="1">
    <dataValidation type="list" allowBlank="1" showInputMessage="1" showErrorMessage="1" promptTitle="Input" prompt="Hello,_x000a_Please mention8, 9,10 for High value/Effort. _x000a_5 to 7 for Medium Value/Effort_x000a_Below 5 for Low Value/Effort. _x000a__x000a_Thanks," sqref="I5:K18" xr:uid="{DBD25609-6018-4952-B283-A81EBBE8E1A9}">
      <formula1>"1,2,3,4,5,6,7,8,9,10"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promptTitle="Category" prompt="Hi,_x000a_Mention about value which can be achieved with activity._x000a__x000a_Thanks,_x000a_" xr:uid="{86645A84-ED85-476C-9BA9-57C42DD2483B}">
          <x14:formula1>
            <xm:f>'Rough Sheet'!$E$3:$E$7</xm:f>
          </x14:formula1>
          <xm:sqref>G5:G18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01D1-ECF2-4CB7-A407-D71DE0F994B3}">
  <dimension ref="A1:X26"/>
  <sheetViews>
    <sheetView showGridLines="0" workbookViewId="0">
      <selection activeCell="G25" sqref="G25"/>
    </sheetView>
  </sheetViews>
  <sheetFormatPr defaultRowHeight="14.4" x14ac:dyDescent="0.3"/>
  <cols>
    <col min="1" max="1" width="15.109375" customWidth="1"/>
    <col min="6" max="6" width="10.88671875" customWidth="1"/>
    <col min="7" max="7" width="18.21875" customWidth="1"/>
    <col min="8" max="8" width="5.88671875" hidden="1" customWidth="1"/>
    <col min="9" max="9" width="16.33203125" customWidth="1"/>
    <col min="10" max="10" width="2.6640625" hidden="1" customWidth="1"/>
    <col min="11" max="11" width="12.33203125" customWidth="1"/>
    <col min="12" max="12" width="2.5546875" hidden="1" customWidth="1"/>
    <col min="13" max="13" width="16.77734375" customWidth="1"/>
    <col min="14" max="14" width="11" customWidth="1"/>
    <col min="16" max="16" width="13" customWidth="1"/>
    <col min="17" max="17" width="15.77734375" customWidth="1"/>
    <col min="18" max="18" width="13.33203125" customWidth="1"/>
    <col min="20" max="20" width="12.44140625" customWidth="1"/>
    <col min="25" max="25" width="14.6640625" bestFit="1" customWidth="1"/>
  </cols>
  <sheetData>
    <row r="1" spans="1:24" s="1" customFormat="1" ht="14.4" customHeight="1" x14ac:dyDescent="0.45">
      <c r="A1" s="11" t="s">
        <v>78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  <c r="U1" s="7"/>
      <c r="V1" s="7"/>
      <c r="W1" s="7"/>
      <c r="X1" s="8"/>
    </row>
    <row r="2" spans="1:24" s="1" customFormat="1" ht="14.4" customHeight="1" x14ac:dyDescent="0.4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6"/>
      <c r="U2" s="9"/>
      <c r="V2" s="9"/>
      <c r="W2" s="9"/>
      <c r="X2" s="10"/>
    </row>
    <row r="4" spans="1:24" x14ac:dyDescent="0.3">
      <c r="A4" s="17" t="s">
        <v>0</v>
      </c>
      <c r="B4" s="18" t="s">
        <v>1</v>
      </c>
      <c r="C4" s="18"/>
      <c r="D4" s="18"/>
      <c r="E4" s="18"/>
      <c r="F4" s="18"/>
      <c r="G4" s="17" t="s">
        <v>2</v>
      </c>
      <c r="H4" s="17" t="s">
        <v>74</v>
      </c>
      <c r="I4" s="17" t="s">
        <v>75</v>
      </c>
      <c r="J4" s="17" t="s">
        <v>4</v>
      </c>
      <c r="K4" s="17" t="s">
        <v>25</v>
      </c>
      <c r="L4" s="17" t="s">
        <v>5</v>
      </c>
      <c r="M4" s="54" t="s">
        <v>102</v>
      </c>
    </row>
    <row r="5" spans="1:24" x14ac:dyDescent="0.3">
      <c r="A5" s="2" t="s">
        <v>6</v>
      </c>
      <c r="B5" s="20" t="s">
        <v>96</v>
      </c>
      <c r="C5" s="20"/>
      <c r="D5" s="20"/>
      <c r="E5" s="20"/>
      <c r="F5" s="20"/>
      <c r="G5" s="2" t="s">
        <v>18</v>
      </c>
      <c r="H5" s="3" t="str">
        <f>IF($I5&gt;=8,"H",IF($I5&gt;=5,"M","L"))</f>
        <v>H</v>
      </c>
      <c r="I5" s="3">
        <v>9</v>
      </c>
      <c r="J5" s="3" t="str">
        <f>IF($K5&gt;=8,"H",IF($K5&gt;=5,"M","L"))</f>
        <v>M</v>
      </c>
      <c r="K5" s="3">
        <v>7</v>
      </c>
      <c r="L5" s="3" t="str">
        <f>_xlfn.CONCAT(H5,J5)</f>
        <v>HM</v>
      </c>
      <c r="M5" s="3" t="s">
        <v>103</v>
      </c>
      <c r="O5" s="22" t="s">
        <v>77</v>
      </c>
      <c r="P5" s="23"/>
      <c r="Q5" s="23"/>
      <c r="R5" s="24"/>
    </row>
    <row r="6" spans="1:24" x14ac:dyDescent="0.3">
      <c r="A6" s="2" t="s">
        <v>7</v>
      </c>
      <c r="B6" s="20" t="s">
        <v>97</v>
      </c>
      <c r="C6" s="20"/>
      <c r="D6" s="20"/>
      <c r="E6" s="20"/>
      <c r="F6" s="20"/>
      <c r="G6" s="2" t="s">
        <v>13</v>
      </c>
      <c r="H6" s="3" t="str">
        <f t="shared" ref="H6:H18" si="0">IF($I6&gt;=8,"H",IF($I6&gt;=5,"M","L"))</f>
        <v>M</v>
      </c>
      <c r="I6" s="3">
        <v>7</v>
      </c>
      <c r="J6" s="3" t="str">
        <f t="shared" ref="J6:J10" si="1">IF($K6&gt;=8,"H",IF($K6&gt;=5,"M","L"))</f>
        <v>L</v>
      </c>
      <c r="K6" s="3">
        <v>3</v>
      </c>
      <c r="L6" s="3" t="str">
        <f t="shared" ref="L6:L18" si="2">_xlfn.CONCAT(H6,J6)</f>
        <v>ML</v>
      </c>
      <c r="M6" s="3"/>
      <c r="O6" s="25"/>
      <c r="P6" s="26"/>
      <c r="Q6" s="26"/>
      <c r="R6" s="27"/>
    </row>
    <row r="7" spans="1:24" x14ac:dyDescent="0.3">
      <c r="A7" s="2" t="s">
        <v>8</v>
      </c>
      <c r="B7" s="20" t="s">
        <v>98</v>
      </c>
      <c r="C7" s="20"/>
      <c r="D7" s="20"/>
      <c r="E7" s="20"/>
      <c r="F7" s="20"/>
      <c r="G7" s="2" t="s">
        <v>35</v>
      </c>
      <c r="H7" s="3" t="str">
        <f t="shared" si="0"/>
        <v>M</v>
      </c>
      <c r="I7" s="3">
        <v>7</v>
      </c>
      <c r="J7" s="3" t="str">
        <f t="shared" si="1"/>
        <v>M</v>
      </c>
      <c r="K7" s="3">
        <v>7</v>
      </c>
      <c r="L7" s="3" t="str">
        <f t="shared" si="2"/>
        <v>MM</v>
      </c>
      <c r="M7" s="3"/>
      <c r="O7" s="52" t="s">
        <v>62</v>
      </c>
      <c r="P7" s="32">
        <f>C22/J22</f>
        <v>0.16666666666666666</v>
      </c>
      <c r="Q7" s="30">
        <f>B22/J22</f>
        <v>0.33333333333333331</v>
      </c>
      <c r="R7" s="28">
        <f>A22/J22</f>
        <v>0</v>
      </c>
    </row>
    <row r="8" spans="1:24" x14ac:dyDescent="0.3">
      <c r="A8" s="2" t="s">
        <v>9</v>
      </c>
      <c r="B8" s="20" t="s">
        <v>99</v>
      </c>
      <c r="C8" s="20"/>
      <c r="D8" s="20"/>
      <c r="E8" s="20"/>
      <c r="F8" s="20"/>
      <c r="G8" s="2" t="s">
        <v>16</v>
      </c>
      <c r="H8" s="3" t="str">
        <f t="shared" si="0"/>
        <v>H</v>
      </c>
      <c r="I8" s="3">
        <v>8</v>
      </c>
      <c r="J8" s="3" t="str">
        <f t="shared" si="1"/>
        <v>M</v>
      </c>
      <c r="K8" s="3">
        <v>7</v>
      </c>
      <c r="L8" s="3" t="str">
        <f t="shared" si="2"/>
        <v>HM</v>
      </c>
      <c r="M8" s="3"/>
      <c r="O8" s="52"/>
      <c r="P8" s="33"/>
      <c r="Q8" s="31"/>
      <c r="R8" s="29"/>
    </row>
    <row r="9" spans="1:24" x14ac:dyDescent="0.3">
      <c r="A9" s="2" t="s">
        <v>10</v>
      </c>
      <c r="B9" s="20" t="s">
        <v>100</v>
      </c>
      <c r="C9" s="20"/>
      <c r="D9" s="20"/>
      <c r="E9" s="20"/>
      <c r="F9" s="20"/>
      <c r="G9" s="2" t="s">
        <v>34</v>
      </c>
      <c r="H9" s="3" t="str">
        <f t="shared" si="0"/>
        <v>H</v>
      </c>
      <c r="I9" s="3">
        <v>9</v>
      </c>
      <c r="J9" s="3" t="str">
        <f t="shared" si="1"/>
        <v>H</v>
      </c>
      <c r="K9" s="3">
        <v>9</v>
      </c>
      <c r="L9" s="3" t="str">
        <f t="shared" si="2"/>
        <v>HH</v>
      </c>
      <c r="M9" s="3"/>
      <c r="O9" s="51" t="s">
        <v>63</v>
      </c>
      <c r="P9" s="34">
        <f>F22/J22</f>
        <v>0</v>
      </c>
      <c r="Q9" s="36">
        <f>E22/J22</f>
        <v>0.16666666666666666</v>
      </c>
      <c r="R9" s="30">
        <f>D22/J22</f>
        <v>0.16666666666666666</v>
      </c>
    </row>
    <row r="10" spans="1:24" x14ac:dyDescent="0.3">
      <c r="A10" s="2" t="s">
        <v>11</v>
      </c>
      <c r="B10" s="20" t="s">
        <v>101</v>
      </c>
      <c r="C10" s="20"/>
      <c r="D10" s="20"/>
      <c r="E10" s="20"/>
      <c r="F10" s="20"/>
      <c r="G10" s="2" t="s">
        <v>34</v>
      </c>
      <c r="H10" s="3" t="str">
        <f t="shared" si="0"/>
        <v>L</v>
      </c>
      <c r="I10" s="3">
        <v>2</v>
      </c>
      <c r="J10" s="3" t="str">
        <f t="shared" si="1"/>
        <v>L</v>
      </c>
      <c r="K10" s="3">
        <v>2</v>
      </c>
      <c r="L10" s="3" t="str">
        <f t="shared" si="2"/>
        <v>LL</v>
      </c>
      <c r="M10" s="3"/>
      <c r="O10" s="51"/>
      <c r="P10" s="35"/>
      <c r="Q10" s="37"/>
      <c r="R10" s="31"/>
    </row>
    <row r="11" spans="1:24" x14ac:dyDescent="0.3">
      <c r="A11" s="2" t="s">
        <v>12</v>
      </c>
      <c r="B11" s="20"/>
      <c r="C11" s="20"/>
      <c r="D11" s="20"/>
      <c r="E11" s="20"/>
      <c r="F11" s="20"/>
      <c r="G11" s="2"/>
      <c r="H11" s="3" t="str">
        <f t="shared" si="0"/>
        <v>L</v>
      </c>
      <c r="I11" s="3"/>
      <c r="J11" s="3"/>
      <c r="K11" s="3"/>
      <c r="L11" s="3" t="str">
        <f t="shared" si="2"/>
        <v>L</v>
      </c>
      <c r="M11" s="3"/>
      <c r="O11" s="50" t="s">
        <v>64</v>
      </c>
      <c r="P11" s="38">
        <f>I22/J22</f>
        <v>0</v>
      </c>
      <c r="Q11" s="40">
        <f>H22/J22</f>
        <v>0</v>
      </c>
      <c r="R11" s="42">
        <f>G22/J22</f>
        <v>0.16666666666666666</v>
      </c>
    </row>
    <row r="12" spans="1:24" x14ac:dyDescent="0.3">
      <c r="A12" s="2" t="s">
        <v>14</v>
      </c>
      <c r="B12" s="20"/>
      <c r="C12" s="20"/>
      <c r="D12" s="20"/>
      <c r="E12" s="20"/>
      <c r="F12" s="20"/>
      <c r="G12" s="2"/>
      <c r="H12" s="3" t="str">
        <f t="shared" si="0"/>
        <v>L</v>
      </c>
      <c r="I12" s="3"/>
      <c r="J12" s="3"/>
      <c r="K12" s="3"/>
      <c r="L12" s="3" t="str">
        <f t="shared" si="2"/>
        <v>L</v>
      </c>
      <c r="M12" s="3"/>
      <c r="O12" s="50"/>
      <c r="P12" s="39"/>
      <c r="Q12" s="41"/>
      <c r="R12" s="43"/>
    </row>
    <row r="13" spans="1:24" x14ac:dyDescent="0.3">
      <c r="A13" s="2" t="s">
        <v>15</v>
      </c>
      <c r="B13" s="20"/>
      <c r="C13" s="20"/>
      <c r="D13" s="20"/>
      <c r="E13" s="20"/>
      <c r="F13" s="20"/>
      <c r="G13" s="2"/>
      <c r="H13" s="3" t="str">
        <f t="shared" si="0"/>
        <v>L</v>
      </c>
      <c r="I13" s="3"/>
      <c r="J13" s="3"/>
      <c r="K13" s="3"/>
      <c r="L13" s="3" t="str">
        <f t="shared" si="2"/>
        <v>L</v>
      </c>
      <c r="M13" s="3"/>
      <c r="P13" s="53" t="s">
        <v>65</v>
      </c>
      <c r="Q13" s="51" t="s">
        <v>66</v>
      </c>
      <c r="R13" s="50" t="s">
        <v>67</v>
      </c>
    </row>
    <row r="14" spans="1:24" x14ac:dyDescent="0.3">
      <c r="A14" s="2" t="s">
        <v>17</v>
      </c>
      <c r="B14" s="20"/>
      <c r="C14" s="20"/>
      <c r="D14" s="20"/>
      <c r="E14" s="20"/>
      <c r="F14" s="20"/>
      <c r="G14" s="2"/>
      <c r="H14" s="3" t="str">
        <f t="shared" si="0"/>
        <v>L</v>
      </c>
      <c r="I14" s="3"/>
      <c r="J14" s="3"/>
      <c r="K14" s="3"/>
      <c r="L14" s="3" t="str">
        <f t="shared" si="2"/>
        <v>L</v>
      </c>
      <c r="M14" s="3"/>
      <c r="P14" s="53"/>
      <c r="Q14" s="51"/>
      <c r="R14" s="50"/>
    </row>
    <row r="15" spans="1:24" x14ac:dyDescent="0.3">
      <c r="A15" s="2" t="s">
        <v>19</v>
      </c>
      <c r="B15" s="20"/>
      <c r="C15" s="20"/>
      <c r="D15" s="20"/>
      <c r="E15" s="20"/>
      <c r="F15" s="20"/>
      <c r="G15" s="2"/>
      <c r="H15" s="3" t="str">
        <f t="shared" si="0"/>
        <v>L</v>
      </c>
      <c r="I15" s="3"/>
      <c r="J15" s="3"/>
      <c r="K15" s="3"/>
      <c r="L15" s="3" t="str">
        <f t="shared" si="2"/>
        <v>L</v>
      </c>
      <c r="M15" s="3"/>
      <c r="P15" s="53"/>
      <c r="Q15" s="51"/>
      <c r="R15" s="50"/>
    </row>
    <row r="16" spans="1:24" x14ac:dyDescent="0.3">
      <c r="A16" s="2" t="s">
        <v>20</v>
      </c>
      <c r="B16" s="20"/>
      <c r="C16" s="20"/>
      <c r="D16" s="20"/>
      <c r="E16" s="20"/>
      <c r="F16" s="20"/>
      <c r="G16" s="2"/>
      <c r="H16" s="3" t="str">
        <f t="shared" si="0"/>
        <v>L</v>
      </c>
      <c r="I16" s="3"/>
      <c r="J16" s="3"/>
      <c r="K16" s="3"/>
      <c r="L16" s="3" t="str">
        <f t="shared" si="2"/>
        <v>L</v>
      </c>
      <c r="M16" s="3"/>
    </row>
    <row r="17" spans="1:22" x14ac:dyDescent="0.3">
      <c r="A17" s="2" t="s">
        <v>6</v>
      </c>
      <c r="B17" s="20"/>
      <c r="C17" s="20"/>
      <c r="D17" s="20"/>
      <c r="E17" s="20"/>
      <c r="F17" s="20"/>
      <c r="G17" s="2"/>
      <c r="H17" s="3" t="str">
        <f t="shared" si="0"/>
        <v>L</v>
      </c>
      <c r="I17" s="3"/>
      <c r="J17" s="3"/>
      <c r="K17" s="3"/>
      <c r="L17" s="3" t="str">
        <f t="shared" si="2"/>
        <v>L</v>
      </c>
      <c r="M17" s="3"/>
      <c r="O17" s="17" t="s">
        <v>3</v>
      </c>
      <c r="P17" s="17" t="s">
        <v>4</v>
      </c>
      <c r="Q17" s="17" t="s">
        <v>76</v>
      </c>
      <c r="R17" s="45"/>
      <c r="S17" s="45"/>
      <c r="T17" s="45"/>
      <c r="U17" s="45"/>
      <c r="V17" s="45"/>
    </row>
    <row r="18" spans="1:22" x14ac:dyDescent="0.3">
      <c r="A18" s="2" t="s">
        <v>7</v>
      </c>
      <c r="B18" s="20"/>
      <c r="C18" s="20"/>
      <c r="D18" s="20"/>
      <c r="E18" s="20"/>
      <c r="F18" s="20"/>
      <c r="G18" s="2"/>
      <c r="H18" s="3" t="str">
        <f t="shared" si="0"/>
        <v>L</v>
      </c>
      <c r="I18" s="3"/>
      <c r="J18" s="3"/>
      <c r="K18" s="3"/>
      <c r="L18" s="3" t="str">
        <f t="shared" si="2"/>
        <v>L</v>
      </c>
      <c r="M18" s="3"/>
      <c r="O18" s="5" t="s">
        <v>26</v>
      </c>
      <c r="P18" s="5" t="s">
        <v>28</v>
      </c>
      <c r="Q18" s="44" t="s">
        <v>43</v>
      </c>
      <c r="R18" s="45"/>
      <c r="S18" s="45"/>
      <c r="T18" s="45"/>
      <c r="U18" s="45"/>
      <c r="V18" s="45"/>
    </row>
    <row r="19" spans="1:22" x14ac:dyDescent="0.3">
      <c r="O19" s="5" t="s">
        <v>26</v>
      </c>
      <c r="P19" s="5" t="s">
        <v>45</v>
      </c>
      <c r="Q19" s="5" t="s">
        <v>46</v>
      </c>
      <c r="R19" s="45"/>
      <c r="S19" s="45"/>
      <c r="T19" s="45"/>
      <c r="U19" s="45"/>
      <c r="V19" s="45"/>
    </row>
    <row r="20" spans="1:22" x14ac:dyDescent="0.3">
      <c r="O20" s="5" t="s">
        <v>26</v>
      </c>
      <c r="P20" s="5" t="s">
        <v>26</v>
      </c>
      <c r="Q20" s="5" t="s">
        <v>48</v>
      </c>
      <c r="R20" s="45"/>
      <c r="S20" s="45"/>
      <c r="T20" s="45"/>
      <c r="U20" s="45"/>
      <c r="V20" s="45"/>
    </row>
    <row r="21" spans="1:22" x14ac:dyDescent="0.3">
      <c r="A21" s="17" t="s">
        <v>21</v>
      </c>
      <c r="B21" s="17" t="s">
        <v>68</v>
      </c>
      <c r="C21" s="17" t="s">
        <v>22</v>
      </c>
      <c r="D21" s="17" t="s">
        <v>69</v>
      </c>
      <c r="E21" s="17" t="s">
        <v>70</v>
      </c>
      <c r="F21" s="17" t="s">
        <v>71</v>
      </c>
      <c r="G21" s="17" t="s">
        <v>24</v>
      </c>
      <c r="H21" s="17" t="s">
        <v>72</v>
      </c>
      <c r="I21" s="17" t="s">
        <v>23</v>
      </c>
      <c r="J21" s="17" t="s">
        <v>73</v>
      </c>
      <c r="O21" s="5" t="s">
        <v>45</v>
      </c>
      <c r="P21" s="5" t="s">
        <v>28</v>
      </c>
      <c r="Q21" s="5" t="s">
        <v>50</v>
      </c>
      <c r="R21" s="45"/>
      <c r="S21" s="45"/>
      <c r="T21" s="45"/>
      <c r="U21" s="45"/>
      <c r="V21" s="45"/>
    </row>
    <row r="22" spans="1:22" x14ac:dyDescent="0.3">
      <c r="A22" s="2">
        <f>COUNTIF($L$5:$L$18,A$21)</f>
        <v>0</v>
      </c>
      <c r="B22" s="2">
        <f>COUNTIF($L$5:$L$18,B$21)</f>
        <v>2</v>
      </c>
      <c r="C22" s="2">
        <f>COUNTIF($L$5:$L$18,C$21)</f>
        <v>1</v>
      </c>
      <c r="D22" s="2">
        <f>COUNTIF($L$5:$L$18,D$21)</f>
        <v>1</v>
      </c>
      <c r="E22" s="2">
        <f>COUNTIF($L$5:$L$18,E$21)</f>
        <v>1</v>
      </c>
      <c r="F22" s="2">
        <f>COUNTIF($L$5:$L$18,F$21)</f>
        <v>0</v>
      </c>
      <c r="G22" s="2">
        <f>COUNTIF($L$5:$L$18,G$21)</f>
        <v>1</v>
      </c>
      <c r="H22" s="2">
        <f>COUNTIF($L$5:$L$18,H$21)</f>
        <v>0</v>
      </c>
      <c r="I22" s="2">
        <f>COUNTIF($L$5:$L$18,I$21)</f>
        <v>0</v>
      </c>
      <c r="J22" s="21">
        <f>SUM(A22:I22)</f>
        <v>6</v>
      </c>
      <c r="O22" s="5" t="s">
        <v>45</v>
      </c>
      <c r="P22" s="5" t="s">
        <v>45</v>
      </c>
      <c r="Q22" s="5" t="s">
        <v>51</v>
      </c>
      <c r="R22" s="45"/>
      <c r="S22" s="45"/>
      <c r="T22" s="45"/>
      <c r="U22" s="45"/>
      <c r="V22" s="45"/>
    </row>
    <row r="23" spans="1:22" x14ac:dyDescent="0.3">
      <c r="O23" s="5" t="s">
        <v>45</v>
      </c>
      <c r="P23" s="5" t="s">
        <v>26</v>
      </c>
      <c r="Q23" s="5" t="s">
        <v>53</v>
      </c>
      <c r="R23" s="45"/>
      <c r="S23" s="45"/>
      <c r="T23" s="45"/>
      <c r="U23" s="45"/>
      <c r="V23" s="45"/>
    </row>
    <row r="24" spans="1:22" x14ac:dyDescent="0.3">
      <c r="O24" s="5" t="s">
        <v>28</v>
      </c>
      <c r="P24" s="5" t="s">
        <v>28</v>
      </c>
      <c r="Q24" s="5" t="s">
        <v>55</v>
      </c>
      <c r="R24" s="45"/>
      <c r="S24" s="45"/>
      <c r="T24" s="45"/>
      <c r="U24" s="45"/>
      <c r="V24" s="45"/>
    </row>
    <row r="25" spans="1:22" x14ac:dyDescent="0.3">
      <c r="O25" s="5" t="s">
        <v>28</v>
      </c>
      <c r="P25" s="5" t="s">
        <v>45</v>
      </c>
      <c r="Q25" s="5" t="s">
        <v>57</v>
      </c>
      <c r="R25" s="45"/>
      <c r="S25" s="45"/>
      <c r="T25" s="45"/>
      <c r="U25" s="45"/>
      <c r="V25" s="45"/>
    </row>
    <row r="26" spans="1:22" x14ac:dyDescent="0.3">
      <c r="O26" s="5" t="s">
        <v>28</v>
      </c>
      <c r="P26" s="5" t="s">
        <v>26</v>
      </c>
      <c r="Q26" s="5" t="s">
        <v>59</v>
      </c>
      <c r="R26" s="45"/>
      <c r="S26" s="45"/>
      <c r="T26" s="45"/>
      <c r="U26" s="45"/>
      <c r="V26" s="45"/>
    </row>
  </sheetData>
  <mergeCells count="32">
    <mergeCell ref="B16:F16"/>
    <mergeCell ref="B17:F17"/>
    <mergeCell ref="B18:F18"/>
    <mergeCell ref="B13:F13"/>
    <mergeCell ref="P13:P15"/>
    <mergeCell ref="Q13:Q15"/>
    <mergeCell ref="R13:R15"/>
    <mergeCell ref="B14:F14"/>
    <mergeCell ref="B15:F15"/>
    <mergeCell ref="B11:F11"/>
    <mergeCell ref="O11:O12"/>
    <mergeCell ref="P11:P12"/>
    <mergeCell ref="Q11:Q12"/>
    <mergeCell ref="R11:R12"/>
    <mergeCell ref="B12:F12"/>
    <mergeCell ref="B8:F8"/>
    <mergeCell ref="B9:F9"/>
    <mergeCell ref="O9:O10"/>
    <mergeCell ref="P9:P10"/>
    <mergeCell ref="Q9:Q10"/>
    <mergeCell ref="R9:R10"/>
    <mergeCell ref="B10:F10"/>
    <mergeCell ref="A1:T2"/>
    <mergeCell ref="B4:F4"/>
    <mergeCell ref="B5:F5"/>
    <mergeCell ref="O5:R6"/>
    <mergeCell ref="B6:F6"/>
    <mergeCell ref="B7:F7"/>
    <mergeCell ref="O7:O8"/>
    <mergeCell ref="P7:P8"/>
    <mergeCell ref="Q7:Q8"/>
    <mergeCell ref="R7:R8"/>
  </mergeCells>
  <conditionalFormatting sqref="A5:M18">
    <cfRule type="expression" dxfId="2" priority="1" stopIfTrue="1">
      <formula>"IF(AND($I$5&lt;5,$K$5&lt;5))"</formula>
    </cfRule>
  </conditionalFormatting>
  <dataValidations count="1">
    <dataValidation type="list" allowBlank="1" showInputMessage="1" showErrorMessage="1" promptTitle="Input" prompt="Hello,_x000a_Please mention8, 9,10 for High value/Effort. _x000a_5 to 7 for Medium Value/Effort_x000a_Below 5 for Low Value/Effort. _x000a__x000a_Thanks," sqref="I5:K18" xr:uid="{8AB8A4AC-695F-4B3F-89FD-795593ABE46E}">
      <formula1>"1,2,3,4,5,6,7,8,9,10"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promptTitle="Category" prompt="Hi,_x000a_Mention about value which can be achieved with activity._x000a__x000a_Thanks,_x000a_" xr:uid="{30EF41AF-3FF1-4A00-BF52-DF696612E557}">
          <x14:formula1>
            <xm:f>'Rough Sheet'!$E$3:$E$7</xm:f>
          </x14:formula1>
          <xm:sqref>G5:G18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09C0-4D21-468A-BB42-E370CF032A46}">
  <dimension ref="A1:X26"/>
  <sheetViews>
    <sheetView showGridLines="0" workbookViewId="0">
      <selection activeCell="G25" sqref="G25"/>
    </sheetView>
  </sheetViews>
  <sheetFormatPr defaultRowHeight="14.4" x14ac:dyDescent="0.3"/>
  <cols>
    <col min="1" max="1" width="15.109375" customWidth="1"/>
    <col min="6" max="6" width="10.88671875" customWidth="1"/>
    <col min="7" max="7" width="18.21875" customWidth="1"/>
    <col min="8" max="8" width="5.88671875" hidden="1" customWidth="1"/>
    <col min="9" max="9" width="16.33203125" customWidth="1"/>
    <col min="10" max="10" width="2.6640625" hidden="1" customWidth="1"/>
    <col min="11" max="11" width="12.33203125" customWidth="1"/>
    <col min="12" max="12" width="2.5546875" hidden="1" customWidth="1"/>
    <col min="13" max="13" width="16.77734375" customWidth="1"/>
    <col min="14" max="14" width="11" customWidth="1"/>
    <col min="16" max="16" width="13" customWidth="1"/>
    <col min="17" max="17" width="15.77734375" customWidth="1"/>
    <col min="18" max="18" width="13.33203125" customWidth="1"/>
    <col min="20" max="20" width="12.44140625" customWidth="1"/>
    <col min="25" max="25" width="14.6640625" bestFit="1" customWidth="1"/>
  </cols>
  <sheetData>
    <row r="1" spans="1:24" s="1" customFormat="1" ht="14.4" customHeight="1" x14ac:dyDescent="0.45">
      <c r="A1" s="11" t="s">
        <v>78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  <c r="U1" s="7"/>
      <c r="V1" s="7"/>
      <c r="W1" s="7"/>
      <c r="X1" s="8"/>
    </row>
    <row r="2" spans="1:24" s="1" customFormat="1" ht="14.4" customHeight="1" x14ac:dyDescent="0.4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6"/>
      <c r="U2" s="9"/>
      <c r="V2" s="9"/>
      <c r="W2" s="9"/>
      <c r="X2" s="10"/>
    </row>
    <row r="4" spans="1:24" x14ac:dyDescent="0.3">
      <c r="A4" s="17" t="s">
        <v>0</v>
      </c>
      <c r="B4" s="18" t="s">
        <v>1</v>
      </c>
      <c r="C4" s="18"/>
      <c r="D4" s="18"/>
      <c r="E4" s="18"/>
      <c r="F4" s="18"/>
      <c r="G4" s="17" t="s">
        <v>2</v>
      </c>
      <c r="H4" s="17" t="s">
        <v>74</v>
      </c>
      <c r="I4" s="17" t="s">
        <v>75</v>
      </c>
      <c r="J4" s="17" t="s">
        <v>4</v>
      </c>
      <c r="K4" s="17" t="s">
        <v>25</v>
      </c>
      <c r="L4" s="17" t="s">
        <v>5</v>
      </c>
      <c r="M4" s="54" t="s">
        <v>102</v>
      </c>
    </row>
    <row r="5" spans="1:24" x14ac:dyDescent="0.3">
      <c r="A5" s="2" t="s">
        <v>6</v>
      </c>
      <c r="B5" s="20" t="s">
        <v>96</v>
      </c>
      <c r="C5" s="20"/>
      <c r="D5" s="20"/>
      <c r="E5" s="20"/>
      <c r="F5" s="20"/>
      <c r="G5" s="2" t="s">
        <v>18</v>
      </c>
      <c r="H5" s="3" t="str">
        <f>IF($I5&gt;=8,"H",IF($I5&gt;=5,"M","L"))</f>
        <v>H</v>
      </c>
      <c r="I5" s="3">
        <v>9</v>
      </c>
      <c r="J5" s="3" t="str">
        <f>IF($K5&gt;=8,"H",IF($K5&gt;=5,"M","L"))</f>
        <v>M</v>
      </c>
      <c r="K5" s="3">
        <v>7</v>
      </c>
      <c r="L5" s="3" t="str">
        <f>_xlfn.CONCAT(H5,J5)</f>
        <v>HM</v>
      </c>
      <c r="M5" s="3" t="s">
        <v>103</v>
      </c>
      <c r="O5" s="22" t="s">
        <v>77</v>
      </c>
      <c r="P5" s="23"/>
      <c r="Q5" s="23"/>
      <c r="R5" s="24"/>
    </row>
    <row r="6" spans="1:24" x14ac:dyDescent="0.3">
      <c r="A6" s="2" t="s">
        <v>7</v>
      </c>
      <c r="B6" s="20" t="s">
        <v>97</v>
      </c>
      <c r="C6" s="20"/>
      <c r="D6" s="20"/>
      <c r="E6" s="20"/>
      <c r="F6" s="20"/>
      <c r="G6" s="2" t="s">
        <v>13</v>
      </c>
      <c r="H6" s="3" t="str">
        <f t="shared" ref="H6:H18" si="0">IF($I6&gt;=8,"H",IF($I6&gt;=5,"M","L"))</f>
        <v>M</v>
      </c>
      <c r="I6" s="3">
        <v>7</v>
      </c>
      <c r="J6" s="3" t="str">
        <f t="shared" ref="J6:J10" si="1">IF($K6&gt;=8,"H",IF($K6&gt;=5,"M","L"))</f>
        <v>L</v>
      </c>
      <c r="K6" s="3">
        <v>3</v>
      </c>
      <c r="L6" s="3" t="str">
        <f t="shared" ref="L6:L18" si="2">_xlfn.CONCAT(H6,J6)</f>
        <v>ML</v>
      </c>
      <c r="M6" s="3"/>
      <c r="O6" s="25"/>
      <c r="P6" s="26"/>
      <c r="Q6" s="26"/>
      <c r="R6" s="27"/>
    </row>
    <row r="7" spans="1:24" x14ac:dyDescent="0.3">
      <c r="A7" s="2" t="s">
        <v>8</v>
      </c>
      <c r="B7" s="20" t="s">
        <v>98</v>
      </c>
      <c r="C7" s="20"/>
      <c r="D7" s="20"/>
      <c r="E7" s="20"/>
      <c r="F7" s="20"/>
      <c r="G7" s="2" t="s">
        <v>35</v>
      </c>
      <c r="H7" s="3" t="str">
        <f t="shared" si="0"/>
        <v>M</v>
      </c>
      <c r="I7" s="3">
        <v>7</v>
      </c>
      <c r="J7" s="3" t="str">
        <f t="shared" si="1"/>
        <v>M</v>
      </c>
      <c r="K7" s="3">
        <v>7</v>
      </c>
      <c r="L7" s="3" t="str">
        <f t="shared" si="2"/>
        <v>MM</v>
      </c>
      <c r="M7" s="3"/>
      <c r="O7" s="52" t="s">
        <v>62</v>
      </c>
      <c r="P7" s="32">
        <f>C22/J22</f>
        <v>0.16666666666666666</v>
      </c>
      <c r="Q7" s="30">
        <f>B22/J22</f>
        <v>0.33333333333333331</v>
      </c>
      <c r="R7" s="28">
        <f>A22/J22</f>
        <v>0</v>
      </c>
    </row>
    <row r="8" spans="1:24" x14ac:dyDescent="0.3">
      <c r="A8" s="2" t="s">
        <v>9</v>
      </c>
      <c r="B8" s="20" t="s">
        <v>99</v>
      </c>
      <c r="C8" s="20"/>
      <c r="D8" s="20"/>
      <c r="E8" s="20"/>
      <c r="F8" s="20"/>
      <c r="G8" s="2" t="s">
        <v>16</v>
      </c>
      <c r="H8" s="3" t="str">
        <f t="shared" si="0"/>
        <v>H</v>
      </c>
      <c r="I8" s="3">
        <v>8</v>
      </c>
      <c r="J8" s="3" t="str">
        <f t="shared" si="1"/>
        <v>M</v>
      </c>
      <c r="K8" s="3">
        <v>7</v>
      </c>
      <c r="L8" s="3" t="str">
        <f t="shared" si="2"/>
        <v>HM</v>
      </c>
      <c r="M8" s="3"/>
      <c r="O8" s="52"/>
      <c r="P8" s="33"/>
      <c r="Q8" s="31"/>
      <c r="R8" s="29"/>
    </row>
    <row r="9" spans="1:24" x14ac:dyDescent="0.3">
      <c r="A9" s="2" t="s">
        <v>10</v>
      </c>
      <c r="B9" s="20" t="s">
        <v>100</v>
      </c>
      <c r="C9" s="20"/>
      <c r="D9" s="20"/>
      <c r="E9" s="20"/>
      <c r="F9" s="20"/>
      <c r="G9" s="2" t="s">
        <v>34</v>
      </c>
      <c r="H9" s="3" t="str">
        <f t="shared" si="0"/>
        <v>H</v>
      </c>
      <c r="I9" s="3">
        <v>9</v>
      </c>
      <c r="J9" s="3" t="str">
        <f t="shared" si="1"/>
        <v>H</v>
      </c>
      <c r="K9" s="3">
        <v>9</v>
      </c>
      <c r="L9" s="3" t="str">
        <f t="shared" si="2"/>
        <v>HH</v>
      </c>
      <c r="M9" s="3"/>
      <c r="O9" s="51" t="s">
        <v>63</v>
      </c>
      <c r="P9" s="34">
        <f>F22/J22</f>
        <v>0</v>
      </c>
      <c r="Q9" s="36">
        <f>E22/J22</f>
        <v>0.16666666666666666</v>
      </c>
      <c r="R9" s="30">
        <f>D22/J22</f>
        <v>0.16666666666666666</v>
      </c>
    </row>
    <row r="10" spans="1:24" x14ac:dyDescent="0.3">
      <c r="A10" s="2" t="s">
        <v>11</v>
      </c>
      <c r="B10" s="20" t="s">
        <v>101</v>
      </c>
      <c r="C10" s="20"/>
      <c r="D10" s="20"/>
      <c r="E10" s="20"/>
      <c r="F10" s="20"/>
      <c r="G10" s="2" t="s">
        <v>34</v>
      </c>
      <c r="H10" s="3" t="str">
        <f t="shared" si="0"/>
        <v>L</v>
      </c>
      <c r="I10" s="3">
        <v>2</v>
      </c>
      <c r="J10" s="3" t="str">
        <f t="shared" si="1"/>
        <v>L</v>
      </c>
      <c r="K10" s="3">
        <v>2</v>
      </c>
      <c r="L10" s="3" t="str">
        <f t="shared" si="2"/>
        <v>LL</v>
      </c>
      <c r="M10" s="3"/>
      <c r="O10" s="51"/>
      <c r="P10" s="35"/>
      <c r="Q10" s="37"/>
      <c r="R10" s="31"/>
    </row>
    <row r="11" spans="1:24" x14ac:dyDescent="0.3">
      <c r="A11" s="2" t="s">
        <v>12</v>
      </c>
      <c r="B11" s="20"/>
      <c r="C11" s="20"/>
      <c r="D11" s="20"/>
      <c r="E11" s="20"/>
      <c r="F11" s="20"/>
      <c r="G11" s="2"/>
      <c r="H11" s="3" t="str">
        <f t="shared" si="0"/>
        <v>L</v>
      </c>
      <c r="I11" s="3"/>
      <c r="J11" s="3"/>
      <c r="K11" s="3"/>
      <c r="L11" s="3" t="str">
        <f t="shared" si="2"/>
        <v>L</v>
      </c>
      <c r="M11" s="3"/>
      <c r="O11" s="50" t="s">
        <v>64</v>
      </c>
      <c r="P11" s="38">
        <f>I22/J22</f>
        <v>0</v>
      </c>
      <c r="Q11" s="40">
        <f>H22/J22</f>
        <v>0</v>
      </c>
      <c r="R11" s="42">
        <f>G22/J22</f>
        <v>0.16666666666666666</v>
      </c>
    </row>
    <row r="12" spans="1:24" x14ac:dyDescent="0.3">
      <c r="A12" s="2" t="s">
        <v>14</v>
      </c>
      <c r="B12" s="20"/>
      <c r="C12" s="20"/>
      <c r="D12" s="20"/>
      <c r="E12" s="20"/>
      <c r="F12" s="20"/>
      <c r="G12" s="2"/>
      <c r="H12" s="3" t="str">
        <f t="shared" si="0"/>
        <v>L</v>
      </c>
      <c r="I12" s="3"/>
      <c r="J12" s="3"/>
      <c r="K12" s="3"/>
      <c r="L12" s="3" t="str">
        <f t="shared" si="2"/>
        <v>L</v>
      </c>
      <c r="M12" s="3"/>
      <c r="O12" s="50"/>
      <c r="P12" s="39"/>
      <c r="Q12" s="41"/>
      <c r="R12" s="43"/>
    </row>
    <row r="13" spans="1:24" x14ac:dyDescent="0.3">
      <c r="A13" s="2" t="s">
        <v>15</v>
      </c>
      <c r="B13" s="20"/>
      <c r="C13" s="20"/>
      <c r="D13" s="20"/>
      <c r="E13" s="20"/>
      <c r="F13" s="20"/>
      <c r="G13" s="2"/>
      <c r="H13" s="3" t="str">
        <f t="shared" si="0"/>
        <v>L</v>
      </c>
      <c r="I13" s="3"/>
      <c r="J13" s="3"/>
      <c r="K13" s="3"/>
      <c r="L13" s="3" t="str">
        <f t="shared" si="2"/>
        <v>L</v>
      </c>
      <c r="M13" s="3"/>
      <c r="P13" s="53" t="s">
        <v>65</v>
      </c>
      <c r="Q13" s="51" t="s">
        <v>66</v>
      </c>
      <c r="R13" s="50" t="s">
        <v>67</v>
      </c>
    </row>
    <row r="14" spans="1:24" x14ac:dyDescent="0.3">
      <c r="A14" s="2" t="s">
        <v>17</v>
      </c>
      <c r="B14" s="20"/>
      <c r="C14" s="20"/>
      <c r="D14" s="20"/>
      <c r="E14" s="20"/>
      <c r="F14" s="20"/>
      <c r="G14" s="2"/>
      <c r="H14" s="3" t="str">
        <f t="shared" si="0"/>
        <v>L</v>
      </c>
      <c r="I14" s="3"/>
      <c r="J14" s="3"/>
      <c r="K14" s="3"/>
      <c r="L14" s="3" t="str">
        <f t="shared" si="2"/>
        <v>L</v>
      </c>
      <c r="M14" s="3"/>
      <c r="P14" s="53"/>
      <c r="Q14" s="51"/>
      <c r="R14" s="50"/>
    </row>
    <row r="15" spans="1:24" x14ac:dyDescent="0.3">
      <c r="A15" s="2" t="s">
        <v>19</v>
      </c>
      <c r="B15" s="20"/>
      <c r="C15" s="20"/>
      <c r="D15" s="20"/>
      <c r="E15" s="20"/>
      <c r="F15" s="20"/>
      <c r="G15" s="2"/>
      <c r="H15" s="3" t="str">
        <f t="shared" si="0"/>
        <v>L</v>
      </c>
      <c r="I15" s="3"/>
      <c r="J15" s="3"/>
      <c r="K15" s="3"/>
      <c r="L15" s="3" t="str">
        <f t="shared" si="2"/>
        <v>L</v>
      </c>
      <c r="M15" s="3"/>
      <c r="P15" s="53"/>
      <c r="Q15" s="51"/>
      <c r="R15" s="50"/>
    </row>
    <row r="16" spans="1:24" x14ac:dyDescent="0.3">
      <c r="A16" s="2" t="s">
        <v>20</v>
      </c>
      <c r="B16" s="20"/>
      <c r="C16" s="20"/>
      <c r="D16" s="20"/>
      <c r="E16" s="20"/>
      <c r="F16" s="20"/>
      <c r="G16" s="2"/>
      <c r="H16" s="3" t="str">
        <f t="shared" si="0"/>
        <v>L</v>
      </c>
      <c r="I16" s="3"/>
      <c r="J16" s="3"/>
      <c r="K16" s="3"/>
      <c r="L16" s="3" t="str">
        <f t="shared" si="2"/>
        <v>L</v>
      </c>
      <c r="M16" s="3"/>
    </row>
    <row r="17" spans="1:22" x14ac:dyDescent="0.3">
      <c r="A17" s="2" t="s">
        <v>6</v>
      </c>
      <c r="B17" s="20"/>
      <c r="C17" s="20"/>
      <c r="D17" s="20"/>
      <c r="E17" s="20"/>
      <c r="F17" s="20"/>
      <c r="G17" s="2"/>
      <c r="H17" s="3" t="str">
        <f t="shared" si="0"/>
        <v>L</v>
      </c>
      <c r="I17" s="3"/>
      <c r="J17" s="3"/>
      <c r="K17" s="3"/>
      <c r="L17" s="3" t="str">
        <f t="shared" si="2"/>
        <v>L</v>
      </c>
      <c r="M17" s="3"/>
      <c r="O17" s="17" t="s">
        <v>3</v>
      </c>
      <c r="P17" s="17" t="s">
        <v>4</v>
      </c>
      <c r="Q17" s="17" t="s">
        <v>76</v>
      </c>
      <c r="R17" s="45"/>
      <c r="S17" s="45"/>
      <c r="T17" s="45"/>
      <c r="U17" s="45"/>
      <c r="V17" s="45"/>
    </row>
    <row r="18" spans="1:22" x14ac:dyDescent="0.3">
      <c r="A18" s="2" t="s">
        <v>7</v>
      </c>
      <c r="B18" s="20"/>
      <c r="C18" s="20"/>
      <c r="D18" s="20"/>
      <c r="E18" s="20"/>
      <c r="F18" s="20"/>
      <c r="G18" s="2"/>
      <c r="H18" s="3" t="str">
        <f t="shared" si="0"/>
        <v>L</v>
      </c>
      <c r="I18" s="3"/>
      <c r="J18" s="3"/>
      <c r="K18" s="3"/>
      <c r="L18" s="3" t="str">
        <f t="shared" si="2"/>
        <v>L</v>
      </c>
      <c r="M18" s="3"/>
      <c r="O18" s="5" t="s">
        <v>26</v>
      </c>
      <c r="P18" s="5" t="s">
        <v>28</v>
      </c>
      <c r="Q18" s="44" t="s">
        <v>43</v>
      </c>
      <c r="R18" s="45"/>
      <c r="S18" s="45"/>
      <c r="T18" s="45"/>
      <c r="U18" s="45"/>
      <c r="V18" s="45"/>
    </row>
    <row r="19" spans="1:22" x14ac:dyDescent="0.3">
      <c r="O19" s="5" t="s">
        <v>26</v>
      </c>
      <c r="P19" s="5" t="s">
        <v>45</v>
      </c>
      <c r="Q19" s="5" t="s">
        <v>46</v>
      </c>
      <c r="R19" s="45"/>
      <c r="S19" s="45"/>
      <c r="T19" s="45"/>
      <c r="U19" s="45"/>
      <c r="V19" s="45"/>
    </row>
    <row r="20" spans="1:22" x14ac:dyDescent="0.3">
      <c r="O20" s="5" t="s">
        <v>26</v>
      </c>
      <c r="P20" s="5" t="s">
        <v>26</v>
      </c>
      <c r="Q20" s="5" t="s">
        <v>48</v>
      </c>
      <c r="R20" s="45"/>
      <c r="S20" s="45"/>
      <c r="T20" s="45"/>
      <c r="U20" s="45"/>
      <c r="V20" s="45"/>
    </row>
    <row r="21" spans="1:22" x14ac:dyDescent="0.3">
      <c r="A21" s="17" t="s">
        <v>21</v>
      </c>
      <c r="B21" s="17" t="s">
        <v>68</v>
      </c>
      <c r="C21" s="17" t="s">
        <v>22</v>
      </c>
      <c r="D21" s="17" t="s">
        <v>69</v>
      </c>
      <c r="E21" s="17" t="s">
        <v>70</v>
      </c>
      <c r="F21" s="17" t="s">
        <v>71</v>
      </c>
      <c r="G21" s="17" t="s">
        <v>24</v>
      </c>
      <c r="H21" s="17" t="s">
        <v>72</v>
      </c>
      <c r="I21" s="17" t="s">
        <v>23</v>
      </c>
      <c r="J21" s="17" t="s">
        <v>73</v>
      </c>
      <c r="O21" s="5" t="s">
        <v>45</v>
      </c>
      <c r="P21" s="5" t="s">
        <v>28</v>
      </c>
      <c r="Q21" s="5" t="s">
        <v>50</v>
      </c>
      <c r="R21" s="45"/>
      <c r="S21" s="45"/>
      <c r="T21" s="45"/>
      <c r="U21" s="45"/>
      <c r="V21" s="45"/>
    </row>
    <row r="22" spans="1:22" x14ac:dyDescent="0.3">
      <c r="A22" s="2">
        <f>COUNTIF($L$5:$L$18,A$21)</f>
        <v>0</v>
      </c>
      <c r="B22" s="2">
        <f>COUNTIF($L$5:$L$18,B$21)</f>
        <v>2</v>
      </c>
      <c r="C22" s="2">
        <f>COUNTIF($L$5:$L$18,C$21)</f>
        <v>1</v>
      </c>
      <c r="D22" s="2">
        <f>COUNTIF($L$5:$L$18,D$21)</f>
        <v>1</v>
      </c>
      <c r="E22" s="2">
        <f>COUNTIF($L$5:$L$18,E$21)</f>
        <v>1</v>
      </c>
      <c r="F22" s="2">
        <f>COUNTIF($L$5:$L$18,F$21)</f>
        <v>0</v>
      </c>
      <c r="G22" s="2">
        <f>COUNTIF($L$5:$L$18,G$21)</f>
        <v>1</v>
      </c>
      <c r="H22" s="2">
        <f>COUNTIF($L$5:$L$18,H$21)</f>
        <v>0</v>
      </c>
      <c r="I22" s="2">
        <f>COUNTIF($L$5:$L$18,I$21)</f>
        <v>0</v>
      </c>
      <c r="J22" s="21">
        <f>SUM(A22:I22)</f>
        <v>6</v>
      </c>
      <c r="O22" s="5" t="s">
        <v>45</v>
      </c>
      <c r="P22" s="5" t="s">
        <v>45</v>
      </c>
      <c r="Q22" s="5" t="s">
        <v>51</v>
      </c>
      <c r="R22" s="45"/>
      <c r="S22" s="45"/>
      <c r="T22" s="45"/>
      <c r="U22" s="45"/>
      <c r="V22" s="45"/>
    </row>
    <row r="23" spans="1:22" x14ac:dyDescent="0.3">
      <c r="O23" s="5" t="s">
        <v>45</v>
      </c>
      <c r="P23" s="5" t="s">
        <v>26</v>
      </c>
      <c r="Q23" s="5" t="s">
        <v>53</v>
      </c>
      <c r="R23" s="45"/>
      <c r="S23" s="45"/>
      <c r="T23" s="45"/>
      <c r="U23" s="45"/>
      <c r="V23" s="45"/>
    </row>
    <row r="24" spans="1:22" x14ac:dyDescent="0.3">
      <c r="O24" s="5" t="s">
        <v>28</v>
      </c>
      <c r="P24" s="5" t="s">
        <v>28</v>
      </c>
      <c r="Q24" s="5" t="s">
        <v>55</v>
      </c>
      <c r="R24" s="45"/>
      <c r="S24" s="45"/>
      <c r="T24" s="45"/>
      <c r="U24" s="45"/>
      <c r="V24" s="45"/>
    </row>
    <row r="25" spans="1:22" x14ac:dyDescent="0.3">
      <c r="O25" s="5" t="s">
        <v>28</v>
      </c>
      <c r="P25" s="5" t="s">
        <v>45</v>
      </c>
      <c r="Q25" s="5" t="s">
        <v>57</v>
      </c>
      <c r="R25" s="45"/>
      <c r="S25" s="45"/>
      <c r="T25" s="45"/>
      <c r="U25" s="45"/>
      <c r="V25" s="45"/>
    </row>
    <row r="26" spans="1:22" x14ac:dyDescent="0.3">
      <c r="O26" s="5" t="s">
        <v>28</v>
      </c>
      <c r="P26" s="5" t="s">
        <v>26</v>
      </c>
      <c r="Q26" s="5" t="s">
        <v>59</v>
      </c>
      <c r="R26" s="45"/>
      <c r="S26" s="45"/>
      <c r="T26" s="45"/>
      <c r="U26" s="45"/>
      <c r="V26" s="45"/>
    </row>
  </sheetData>
  <mergeCells count="32">
    <mergeCell ref="B16:F16"/>
    <mergeCell ref="B17:F17"/>
    <mergeCell ref="B18:F18"/>
    <mergeCell ref="B13:F13"/>
    <mergeCell ref="P13:P15"/>
    <mergeCell ref="Q13:Q15"/>
    <mergeCell ref="R13:R15"/>
    <mergeCell ref="B14:F14"/>
    <mergeCell ref="B15:F15"/>
    <mergeCell ref="B11:F11"/>
    <mergeCell ref="O11:O12"/>
    <mergeCell ref="P11:P12"/>
    <mergeCell ref="Q11:Q12"/>
    <mergeCell ref="R11:R12"/>
    <mergeCell ref="B12:F12"/>
    <mergeCell ref="B8:F8"/>
    <mergeCell ref="B9:F9"/>
    <mergeCell ref="O9:O10"/>
    <mergeCell ref="P9:P10"/>
    <mergeCell ref="Q9:Q10"/>
    <mergeCell ref="R9:R10"/>
    <mergeCell ref="B10:F10"/>
    <mergeCell ref="A1:T2"/>
    <mergeCell ref="B4:F4"/>
    <mergeCell ref="B5:F5"/>
    <mergeCell ref="O5:R6"/>
    <mergeCell ref="B6:F6"/>
    <mergeCell ref="B7:F7"/>
    <mergeCell ref="O7:O8"/>
    <mergeCell ref="P7:P8"/>
    <mergeCell ref="Q7:Q8"/>
    <mergeCell ref="R7:R8"/>
  </mergeCells>
  <conditionalFormatting sqref="A5:M18">
    <cfRule type="expression" dxfId="1" priority="1" stopIfTrue="1">
      <formula>"IF(AND($I$5&lt;5,$K$5&lt;5))"</formula>
    </cfRule>
  </conditionalFormatting>
  <dataValidations count="1">
    <dataValidation type="list" allowBlank="1" showInputMessage="1" showErrorMessage="1" promptTitle="Input" prompt="Hello,_x000a_Please mention8, 9,10 for High value/Effort. _x000a_5 to 7 for Medium Value/Effort_x000a_Below 5 for Low Value/Effort. _x000a__x000a_Thanks," sqref="I5:K18" xr:uid="{45CDC759-B9BE-4282-AB13-353E61DE32B3}">
      <formula1>"1,2,3,4,5,6,7,8,9,10"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promptTitle="Category" prompt="Hi,_x000a_Mention about value which can be achieved with activity._x000a__x000a_Thanks,_x000a_" xr:uid="{864C41A5-7BB5-43FC-B27A-68A07835CDD5}">
          <x14:formula1>
            <xm:f>'Rough Sheet'!$E$3:$E$7</xm:f>
          </x14:formula1>
          <xm:sqref>G5:G18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1F839-A697-4BDE-B64C-BB4A247F022A}">
  <dimension ref="A1:X26"/>
  <sheetViews>
    <sheetView showGridLines="0" workbookViewId="0">
      <selection activeCell="M26" sqref="M26"/>
    </sheetView>
  </sheetViews>
  <sheetFormatPr defaultRowHeight="14.4" x14ac:dyDescent="0.3"/>
  <cols>
    <col min="1" max="1" width="15.109375" customWidth="1"/>
    <col min="6" max="6" width="10.88671875" customWidth="1"/>
    <col min="7" max="7" width="18.21875" customWidth="1"/>
    <col min="8" max="8" width="5.88671875" hidden="1" customWidth="1"/>
    <col min="9" max="9" width="16.33203125" customWidth="1"/>
    <col min="10" max="10" width="2.6640625" hidden="1" customWidth="1"/>
    <col min="11" max="11" width="12.33203125" customWidth="1"/>
    <col min="12" max="12" width="2.5546875" hidden="1" customWidth="1"/>
    <col min="13" max="13" width="16.77734375" customWidth="1"/>
    <col min="14" max="14" width="11" customWidth="1"/>
    <col min="16" max="16" width="13" customWidth="1"/>
    <col min="17" max="17" width="15.77734375" customWidth="1"/>
    <col min="18" max="18" width="13.33203125" customWidth="1"/>
    <col min="20" max="20" width="12.44140625" customWidth="1"/>
    <col min="25" max="25" width="14.6640625" bestFit="1" customWidth="1"/>
  </cols>
  <sheetData>
    <row r="1" spans="1:24" s="1" customFormat="1" ht="14.4" customHeight="1" x14ac:dyDescent="0.45">
      <c r="A1" s="11" t="s">
        <v>78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  <c r="U1" s="7"/>
      <c r="V1" s="7"/>
      <c r="W1" s="7"/>
      <c r="X1" s="8"/>
    </row>
    <row r="2" spans="1:24" s="1" customFormat="1" ht="14.4" customHeight="1" x14ac:dyDescent="0.4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6"/>
      <c r="U2" s="9"/>
      <c r="V2" s="9"/>
      <c r="W2" s="9"/>
      <c r="X2" s="10"/>
    </row>
    <row r="4" spans="1:24" x14ac:dyDescent="0.3">
      <c r="A4" s="17" t="s">
        <v>0</v>
      </c>
      <c r="B4" s="18" t="s">
        <v>1</v>
      </c>
      <c r="C4" s="18"/>
      <c r="D4" s="18"/>
      <c r="E4" s="18"/>
      <c r="F4" s="18"/>
      <c r="G4" s="17" t="s">
        <v>2</v>
      </c>
      <c r="H4" s="17" t="s">
        <v>74</v>
      </c>
      <c r="I4" s="17" t="s">
        <v>75</v>
      </c>
      <c r="J4" s="17" t="s">
        <v>4</v>
      </c>
      <c r="K4" s="17" t="s">
        <v>25</v>
      </c>
      <c r="L4" s="17" t="s">
        <v>5</v>
      </c>
      <c r="M4" s="54" t="s">
        <v>102</v>
      </c>
    </row>
    <row r="5" spans="1:24" x14ac:dyDescent="0.3">
      <c r="A5" s="2" t="s">
        <v>6</v>
      </c>
      <c r="B5" s="20" t="s">
        <v>96</v>
      </c>
      <c r="C5" s="20"/>
      <c r="D5" s="20"/>
      <c r="E5" s="20"/>
      <c r="F5" s="20"/>
      <c r="G5" s="2" t="s">
        <v>18</v>
      </c>
      <c r="H5" s="3" t="str">
        <f>IF($I5&gt;=8,"H",IF($I5&gt;=5,"M","L"))</f>
        <v>H</v>
      </c>
      <c r="I5" s="3">
        <v>9</v>
      </c>
      <c r="J5" s="3" t="str">
        <f>IF($K5&gt;=8,"H",IF($K5&gt;=5,"M","L"))</f>
        <v>M</v>
      </c>
      <c r="K5" s="3">
        <v>7</v>
      </c>
      <c r="L5" s="3" t="str">
        <f>_xlfn.CONCAT(H5,J5)</f>
        <v>HM</v>
      </c>
      <c r="M5" s="3" t="s">
        <v>103</v>
      </c>
      <c r="O5" s="22" t="s">
        <v>77</v>
      </c>
      <c r="P5" s="23"/>
      <c r="Q5" s="23"/>
      <c r="R5" s="24"/>
    </row>
    <row r="6" spans="1:24" x14ac:dyDescent="0.3">
      <c r="A6" s="2" t="s">
        <v>7</v>
      </c>
      <c r="B6" s="20" t="s">
        <v>97</v>
      </c>
      <c r="C6" s="20"/>
      <c r="D6" s="20"/>
      <c r="E6" s="20"/>
      <c r="F6" s="20"/>
      <c r="G6" s="2" t="s">
        <v>13</v>
      </c>
      <c r="H6" s="3" t="str">
        <f t="shared" ref="H6:H18" si="0">IF($I6&gt;=8,"H",IF($I6&gt;=5,"M","L"))</f>
        <v>M</v>
      </c>
      <c r="I6" s="3">
        <v>7</v>
      </c>
      <c r="J6" s="3" t="str">
        <f t="shared" ref="J6:J10" si="1">IF($K6&gt;=8,"H",IF($K6&gt;=5,"M","L"))</f>
        <v>L</v>
      </c>
      <c r="K6" s="3">
        <v>3</v>
      </c>
      <c r="L6" s="3" t="str">
        <f t="shared" ref="L6:L18" si="2">_xlfn.CONCAT(H6,J6)</f>
        <v>ML</v>
      </c>
      <c r="M6" s="3"/>
      <c r="O6" s="25"/>
      <c r="P6" s="26"/>
      <c r="Q6" s="26"/>
      <c r="R6" s="27"/>
    </row>
    <row r="7" spans="1:24" x14ac:dyDescent="0.3">
      <c r="A7" s="2" t="s">
        <v>8</v>
      </c>
      <c r="B7" s="20" t="s">
        <v>98</v>
      </c>
      <c r="C7" s="20"/>
      <c r="D7" s="20"/>
      <c r="E7" s="20"/>
      <c r="F7" s="20"/>
      <c r="G7" s="2" t="s">
        <v>35</v>
      </c>
      <c r="H7" s="3" t="str">
        <f t="shared" si="0"/>
        <v>M</v>
      </c>
      <c r="I7" s="3">
        <v>7</v>
      </c>
      <c r="J7" s="3" t="str">
        <f t="shared" si="1"/>
        <v>M</v>
      </c>
      <c r="K7" s="3">
        <v>7</v>
      </c>
      <c r="L7" s="3" t="str">
        <f t="shared" si="2"/>
        <v>MM</v>
      </c>
      <c r="M7" s="3"/>
      <c r="O7" s="52" t="s">
        <v>62</v>
      </c>
      <c r="P7" s="32">
        <f>C22/J22</f>
        <v>0.16666666666666666</v>
      </c>
      <c r="Q7" s="30">
        <f>B22/J22</f>
        <v>0.33333333333333331</v>
      </c>
      <c r="R7" s="28">
        <f>A22/J22</f>
        <v>0</v>
      </c>
    </row>
    <row r="8" spans="1:24" x14ac:dyDescent="0.3">
      <c r="A8" s="2" t="s">
        <v>9</v>
      </c>
      <c r="B8" s="20" t="s">
        <v>99</v>
      </c>
      <c r="C8" s="20"/>
      <c r="D8" s="20"/>
      <c r="E8" s="20"/>
      <c r="F8" s="20"/>
      <c r="G8" s="2" t="s">
        <v>16</v>
      </c>
      <c r="H8" s="3" t="str">
        <f t="shared" si="0"/>
        <v>H</v>
      </c>
      <c r="I8" s="3">
        <v>8</v>
      </c>
      <c r="J8" s="3" t="str">
        <f t="shared" si="1"/>
        <v>M</v>
      </c>
      <c r="K8" s="3">
        <v>7</v>
      </c>
      <c r="L8" s="3" t="str">
        <f t="shared" si="2"/>
        <v>HM</v>
      </c>
      <c r="M8" s="3"/>
      <c r="O8" s="52"/>
      <c r="P8" s="33"/>
      <c r="Q8" s="31"/>
      <c r="R8" s="29"/>
    </row>
    <row r="9" spans="1:24" x14ac:dyDescent="0.3">
      <c r="A9" s="2" t="s">
        <v>10</v>
      </c>
      <c r="B9" s="20" t="s">
        <v>100</v>
      </c>
      <c r="C9" s="20"/>
      <c r="D9" s="20"/>
      <c r="E9" s="20"/>
      <c r="F9" s="20"/>
      <c r="G9" s="2" t="s">
        <v>34</v>
      </c>
      <c r="H9" s="3" t="str">
        <f t="shared" si="0"/>
        <v>H</v>
      </c>
      <c r="I9" s="3">
        <v>9</v>
      </c>
      <c r="J9" s="3" t="str">
        <f t="shared" si="1"/>
        <v>H</v>
      </c>
      <c r="K9" s="3">
        <v>9</v>
      </c>
      <c r="L9" s="3" t="str">
        <f t="shared" si="2"/>
        <v>HH</v>
      </c>
      <c r="M9" s="3"/>
      <c r="O9" s="51" t="s">
        <v>63</v>
      </c>
      <c r="P9" s="34">
        <f>F22/J22</f>
        <v>0</v>
      </c>
      <c r="Q9" s="36">
        <f>E22/J22</f>
        <v>0.16666666666666666</v>
      </c>
      <c r="R9" s="30">
        <f>D22/J22</f>
        <v>0.16666666666666666</v>
      </c>
    </row>
    <row r="10" spans="1:24" x14ac:dyDescent="0.3">
      <c r="A10" s="2" t="s">
        <v>11</v>
      </c>
      <c r="B10" s="20" t="s">
        <v>101</v>
      </c>
      <c r="C10" s="20"/>
      <c r="D10" s="20"/>
      <c r="E10" s="20"/>
      <c r="F10" s="20"/>
      <c r="G10" s="2" t="s">
        <v>34</v>
      </c>
      <c r="H10" s="3" t="str">
        <f t="shared" si="0"/>
        <v>L</v>
      </c>
      <c r="I10" s="3">
        <v>2</v>
      </c>
      <c r="J10" s="3" t="str">
        <f t="shared" si="1"/>
        <v>L</v>
      </c>
      <c r="K10" s="3">
        <v>2</v>
      </c>
      <c r="L10" s="3" t="str">
        <f t="shared" si="2"/>
        <v>LL</v>
      </c>
      <c r="M10" s="3"/>
      <c r="O10" s="51"/>
      <c r="P10" s="35"/>
      <c r="Q10" s="37"/>
      <c r="R10" s="31"/>
    </row>
    <row r="11" spans="1:24" x14ac:dyDescent="0.3">
      <c r="A11" s="2" t="s">
        <v>12</v>
      </c>
      <c r="B11" s="20"/>
      <c r="C11" s="20"/>
      <c r="D11" s="20"/>
      <c r="E11" s="20"/>
      <c r="F11" s="20"/>
      <c r="G11" s="2"/>
      <c r="H11" s="3" t="str">
        <f t="shared" si="0"/>
        <v>L</v>
      </c>
      <c r="I11" s="3"/>
      <c r="J11" s="3"/>
      <c r="K11" s="3"/>
      <c r="L11" s="3" t="str">
        <f t="shared" si="2"/>
        <v>L</v>
      </c>
      <c r="M11" s="3"/>
      <c r="O11" s="50" t="s">
        <v>64</v>
      </c>
      <c r="P11" s="38">
        <f>I22/J22</f>
        <v>0</v>
      </c>
      <c r="Q11" s="40">
        <f>H22/J22</f>
        <v>0</v>
      </c>
      <c r="R11" s="42">
        <f>G22/J22</f>
        <v>0.16666666666666666</v>
      </c>
    </row>
    <row r="12" spans="1:24" x14ac:dyDescent="0.3">
      <c r="A12" s="2" t="s">
        <v>14</v>
      </c>
      <c r="B12" s="20"/>
      <c r="C12" s="20"/>
      <c r="D12" s="20"/>
      <c r="E12" s="20"/>
      <c r="F12" s="20"/>
      <c r="G12" s="2"/>
      <c r="H12" s="3" t="str">
        <f t="shared" si="0"/>
        <v>L</v>
      </c>
      <c r="I12" s="3"/>
      <c r="J12" s="3"/>
      <c r="K12" s="3"/>
      <c r="L12" s="3" t="str">
        <f t="shared" si="2"/>
        <v>L</v>
      </c>
      <c r="M12" s="3"/>
      <c r="O12" s="50"/>
      <c r="P12" s="39"/>
      <c r="Q12" s="41"/>
      <c r="R12" s="43"/>
    </row>
    <row r="13" spans="1:24" x14ac:dyDescent="0.3">
      <c r="A13" s="2" t="s">
        <v>15</v>
      </c>
      <c r="B13" s="20"/>
      <c r="C13" s="20"/>
      <c r="D13" s="20"/>
      <c r="E13" s="20"/>
      <c r="F13" s="20"/>
      <c r="G13" s="2"/>
      <c r="H13" s="3" t="str">
        <f t="shared" si="0"/>
        <v>L</v>
      </c>
      <c r="I13" s="3"/>
      <c r="J13" s="3"/>
      <c r="K13" s="3"/>
      <c r="L13" s="3" t="str">
        <f t="shared" si="2"/>
        <v>L</v>
      </c>
      <c r="M13" s="3"/>
      <c r="P13" s="53" t="s">
        <v>65</v>
      </c>
      <c r="Q13" s="51" t="s">
        <v>66</v>
      </c>
      <c r="R13" s="50" t="s">
        <v>67</v>
      </c>
    </row>
    <row r="14" spans="1:24" x14ac:dyDescent="0.3">
      <c r="A14" s="2" t="s">
        <v>17</v>
      </c>
      <c r="B14" s="20"/>
      <c r="C14" s="20"/>
      <c r="D14" s="20"/>
      <c r="E14" s="20"/>
      <c r="F14" s="20"/>
      <c r="G14" s="2"/>
      <c r="H14" s="3" t="str">
        <f t="shared" si="0"/>
        <v>L</v>
      </c>
      <c r="I14" s="3"/>
      <c r="J14" s="3"/>
      <c r="K14" s="3"/>
      <c r="L14" s="3" t="str">
        <f t="shared" si="2"/>
        <v>L</v>
      </c>
      <c r="M14" s="3"/>
      <c r="P14" s="53"/>
      <c r="Q14" s="51"/>
      <c r="R14" s="50"/>
    </row>
    <row r="15" spans="1:24" x14ac:dyDescent="0.3">
      <c r="A15" s="2" t="s">
        <v>19</v>
      </c>
      <c r="B15" s="20"/>
      <c r="C15" s="20"/>
      <c r="D15" s="20"/>
      <c r="E15" s="20"/>
      <c r="F15" s="20"/>
      <c r="G15" s="2"/>
      <c r="H15" s="3" t="str">
        <f t="shared" si="0"/>
        <v>L</v>
      </c>
      <c r="I15" s="3"/>
      <c r="J15" s="3"/>
      <c r="K15" s="3"/>
      <c r="L15" s="3" t="str">
        <f t="shared" si="2"/>
        <v>L</v>
      </c>
      <c r="M15" s="3"/>
      <c r="P15" s="53"/>
      <c r="Q15" s="51"/>
      <c r="R15" s="50"/>
    </row>
    <row r="16" spans="1:24" x14ac:dyDescent="0.3">
      <c r="A16" s="2" t="s">
        <v>20</v>
      </c>
      <c r="B16" s="20"/>
      <c r="C16" s="20"/>
      <c r="D16" s="20"/>
      <c r="E16" s="20"/>
      <c r="F16" s="20"/>
      <c r="G16" s="2"/>
      <c r="H16" s="3" t="str">
        <f t="shared" si="0"/>
        <v>L</v>
      </c>
      <c r="I16" s="3"/>
      <c r="J16" s="3"/>
      <c r="K16" s="3"/>
      <c r="L16" s="3" t="str">
        <f t="shared" si="2"/>
        <v>L</v>
      </c>
      <c r="M16" s="3"/>
    </row>
    <row r="17" spans="1:22" x14ac:dyDescent="0.3">
      <c r="A17" s="2" t="s">
        <v>6</v>
      </c>
      <c r="B17" s="20"/>
      <c r="C17" s="20"/>
      <c r="D17" s="20"/>
      <c r="E17" s="20"/>
      <c r="F17" s="20"/>
      <c r="G17" s="2"/>
      <c r="H17" s="3" t="str">
        <f t="shared" si="0"/>
        <v>L</v>
      </c>
      <c r="I17" s="3"/>
      <c r="J17" s="3"/>
      <c r="K17" s="3"/>
      <c r="L17" s="3" t="str">
        <f t="shared" si="2"/>
        <v>L</v>
      </c>
      <c r="M17" s="3"/>
      <c r="O17" s="17" t="s">
        <v>3</v>
      </c>
      <c r="P17" s="17" t="s">
        <v>4</v>
      </c>
      <c r="Q17" s="17" t="s">
        <v>76</v>
      </c>
      <c r="R17" s="45"/>
      <c r="S17" s="45"/>
      <c r="T17" s="45"/>
      <c r="U17" s="45"/>
      <c r="V17" s="45"/>
    </row>
    <row r="18" spans="1:22" x14ac:dyDescent="0.3">
      <c r="A18" s="2" t="s">
        <v>7</v>
      </c>
      <c r="B18" s="20"/>
      <c r="C18" s="20"/>
      <c r="D18" s="20"/>
      <c r="E18" s="20"/>
      <c r="F18" s="20"/>
      <c r="G18" s="2"/>
      <c r="H18" s="3" t="str">
        <f t="shared" si="0"/>
        <v>L</v>
      </c>
      <c r="I18" s="3"/>
      <c r="J18" s="3"/>
      <c r="K18" s="3"/>
      <c r="L18" s="3" t="str">
        <f t="shared" si="2"/>
        <v>L</v>
      </c>
      <c r="M18" s="3"/>
      <c r="O18" s="5" t="s">
        <v>26</v>
      </c>
      <c r="P18" s="5" t="s">
        <v>28</v>
      </c>
      <c r="Q18" s="44" t="s">
        <v>43</v>
      </c>
      <c r="R18" s="45"/>
      <c r="S18" s="45"/>
      <c r="T18" s="45"/>
      <c r="U18" s="45"/>
      <c r="V18" s="45"/>
    </row>
    <row r="19" spans="1:22" x14ac:dyDescent="0.3">
      <c r="O19" s="5" t="s">
        <v>26</v>
      </c>
      <c r="P19" s="5" t="s">
        <v>45</v>
      </c>
      <c r="Q19" s="5" t="s">
        <v>46</v>
      </c>
      <c r="R19" s="45"/>
      <c r="S19" s="45"/>
      <c r="T19" s="45"/>
      <c r="U19" s="45"/>
      <c r="V19" s="45"/>
    </row>
    <row r="20" spans="1:22" x14ac:dyDescent="0.3">
      <c r="O20" s="5" t="s">
        <v>26</v>
      </c>
      <c r="P20" s="5" t="s">
        <v>26</v>
      </c>
      <c r="Q20" s="5" t="s">
        <v>48</v>
      </c>
      <c r="R20" s="45"/>
      <c r="S20" s="45"/>
      <c r="T20" s="45"/>
      <c r="U20" s="45"/>
      <c r="V20" s="45"/>
    </row>
    <row r="21" spans="1:22" x14ac:dyDescent="0.3">
      <c r="A21" s="17" t="s">
        <v>21</v>
      </c>
      <c r="B21" s="17" t="s">
        <v>68</v>
      </c>
      <c r="C21" s="17" t="s">
        <v>22</v>
      </c>
      <c r="D21" s="17" t="s">
        <v>69</v>
      </c>
      <c r="E21" s="17" t="s">
        <v>70</v>
      </c>
      <c r="F21" s="17" t="s">
        <v>71</v>
      </c>
      <c r="G21" s="17" t="s">
        <v>24</v>
      </c>
      <c r="H21" s="17" t="s">
        <v>72</v>
      </c>
      <c r="I21" s="17" t="s">
        <v>23</v>
      </c>
      <c r="J21" s="17" t="s">
        <v>73</v>
      </c>
      <c r="O21" s="5" t="s">
        <v>45</v>
      </c>
      <c r="P21" s="5" t="s">
        <v>28</v>
      </c>
      <c r="Q21" s="5" t="s">
        <v>50</v>
      </c>
      <c r="R21" s="45"/>
      <c r="S21" s="45"/>
      <c r="T21" s="45"/>
      <c r="U21" s="45"/>
      <c r="V21" s="45"/>
    </row>
    <row r="22" spans="1:22" x14ac:dyDescent="0.3">
      <c r="A22" s="2">
        <f>COUNTIF($L$5:$L$18,A$21)</f>
        <v>0</v>
      </c>
      <c r="B22" s="2">
        <f>COUNTIF($L$5:$L$18,B$21)</f>
        <v>2</v>
      </c>
      <c r="C22" s="2">
        <f>COUNTIF($L$5:$L$18,C$21)</f>
        <v>1</v>
      </c>
      <c r="D22" s="2">
        <f>COUNTIF($L$5:$L$18,D$21)</f>
        <v>1</v>
      </c>
      <c r="E22" s="2">
        <f>COUNTIF($L$5:$L$18,E$21)</f>
        <v>1</v>
      </c>
      <c r="F22" s="2">
        <f>COUNTIF($L$5:$L$18,F$21)</f>
        <v>0</v>
      </c>
      <c r="G22" s="2">
        <f>COUNTIF($L$5:$L$18,G$21)</f>
        <v>1</v>
      </c>
      <c r="H22" s="2">
        <f>COUNTIF($L$5:$L$18,H$21)</f>
        <v>0</v>
      </c>
      <c r="I22" s="2">
        <f>COUNTIF($L$5:$L$18,I$21)</f>
        <v>0</v>
      </c>
      <c r="J22" s="21">
        <f>SUM(A22:I22)</f>
        <v>6</v>
      </c>
      <c r="O22" s="5" t="s">
        <v>45</v>
      </c>
      <c r="P22" s="5" t="s">
        <v>45</v>
      </c>
      <c r="Q22" s="5" t="s">
        <v>51</v>
      </c>
      <c r="R22" s="45"/>
      <c r="S22" s="45"/>
      <c r="T22" s="45"/>
      <c r="U22" s="45"/>
      <c r="V22" s="45"/>
    </row>
    <row r="23" spans="1:22" x14ac:dyDescent="0.3">
      <c r="O23" s="5" t="s">
        <v>45</v>
      </c>
      <c r="P23" s="5" t="s">
        <v>26</v>
      </c>
      <c r="Q23" s="5" t="s">
        <v>53</v>
      </c>
      <c r="R23" s="45"/>
      <c r="S23" s="45"/>
      <c r="T23" s="45"/>
      <c r="U23" s="45"/>
      <c r="V23" s="45"/>
    </row>
    <row r="24" spans="1:22" x14ac:dyDescent="0.3">
      <c r="O24" s="5" t="s">
        <v>28</v>
      </c>
      <c r="P24" s="5" t="s">
        <v>28</v>
      </c>
      <c r="Q24" s="5" t="s">
        <v>55</v>
      </c>
      <c r="R24" s="45"/>
      <c r="S24" s="45"/>
      <c r="T24" s="45"/>
      <c r="U24" s="45"/>
      <c r="V24" s="45"/>
    </row>
    <row r="25" spans="1:22" x14ac:dyDescent="0.3">
      <c r="O25" s="5" t="s">
        <v>28</v>
      </c>
      <c r="P25" s="5" t="s">
        <v>45</v>
      </c>
      <c r="Q25" s="5" t="s">
        <v>57</v>
      </c>
      <c r="R25" s="45"/>
      <c r="S25" s="45"/>
      <c r="T25" s="45"/>
      <c r="U25" s="45"/>
      <c r="V25" s="45"/>
    </row>
    <row r="26" spans="1:22" x14ac:dyDescent="0.3">
      <c r="O26" s="5" t="s">
        <v>28</v>
      </c>
      <c r="P26" s="5" t="s">
        <v>26</v>
      </c>
      <c r="Q26" s="5" t="s">
        <v>59</v>
      </c>
      <c r="R26" s="45"/>
      <c r="S26" s="45"/>
      <c r="T26" s="45"/>
      <c r="U26" s="45"/>
      <c r="V26" s="45"/>
    </row>
  </sheetData>
  <mergeCells count="32">
    <mergeCell ref="B16:F16"/>
    <mergeCell ref="B17:F17"/>
    <mergeCell ref="B18:F18"/>
    <mergeCell ref="B13:F13"/>
    <mergeCell ref="P13:P15"/>
    <mergeCell ref="Q13:Q15"/>
    <mergeCell ref="R13:R15"/>
    <mergeCell ref="B14:F14"/>
    <mergeCell ref="B15:F15"/>
    <mergeCell ref="B11:F11"/>
    <mergeCell ref="O11:O12"/>
    <mergeCell ref="P11:P12"/>
    <mergeCell ref="Q11:Q12"/>
    <mergeCell ref="R11:R12"/>
    <mergeCell ref="B12:F12"/>
    <mergeCell ref="B8:F8"/>
    <mergeCell ref="B9:F9"/>
    <mergeCell ref="O9:O10"/>
    <mergeCell ref="P9:P10"/>
    <mergeCell ref="Q9:Q10"/>
    <mergeCell ref="R9:R10"/>
    <mergeCell ref="B10:F10"/>
    <mergeCell ref="A1:T2"/>
    <mergeCell ref="B4:F4"/>
    <mergeCell ref="B5:F5"/>
    <mergeCell ref="O5:R6"/>
    <mergeCell ref="B6:F6"/>
    <mergeCell ref="B7:F7"/>
    <mergeCell ref="O7:O8"/>
    <mergeCell ref="P7:P8"/>
    <mergeCell ref="Q7:Q8"/>
    <mergeCell ref="R7:R8"/>
  </mergeCells>
  <conditionalFormatting sqref="A5:M18">
    <cfRule type="expression" dxfId="0" priority="1" stopIfTrue="1">
      <formula>"IF(AND($I$5&lt;5,$K$5&lt;5))"</formula>
    </cfRule>
  </conditionalFormatting>
  <dataValidations count="1">
    <dataValidation type="list" allowBlank="1" showInputMessage="1" showErrorMessage="1" promptTitle="Input" prompt="Hello,_x000a_Please mention8, 9,10 for High value/Effort. _x000a_5 to 7 for Medium Value/Effort_x000a_Below 5 for Low Value/Effort. _x000a__x000a_Thanks," sqref="I5:K18" xr:uid="{F998AE45-883A-4FBB-8BB5-A0F194EC3946}">
      <formula1>"1,2,3,4,5,6,7,8,9,10"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promptTitle="Category" prompt="Hi,_x000a_Mention about value which can be achieved with activity._x000a__x000a_Thanks,_x000a_" xr:uid="{5D198438-3B8B-489D-BCD6-B795F0286D36}">
          <x14:formula1>
            <xm:f>'Rough Sheet'!$E$3:$E$7</xm:f>
          </x14:formula1>
          <xm:sqref>G5:G18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Rough Sheet</vt:lpstr>
      <vt:lpstr>Overall View</vt:lpstr>
      <vt:lpstr>Monday</vt:lpstr>
      <vt:lpstr>Tuesday</vt:lpstr>
      <vt:lpstr>Wednesday</vt:lpstr>
      <vt:lpstr>Thursday</vt:lpstr>
      <vt:lpstr>Friday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malaviya</dc:creator>
  <cp:lastModifiedBy>praveen malaviya</cp:lastModifiedBy>
  <cp:lastPrinted>2026-02-25T12:01:37Z</cp:lastPrinted>
  <dcterms:created xsi:type="dcterms:W3CDTF">2026-02-23T14:46:32Z</dcterms:created>
  <dcterms:modified xsi:type="dcterms:W3CDTF">2026-02-25T12:43:32Z</dcterms:modified>
</cp:coreProperties>
</file>